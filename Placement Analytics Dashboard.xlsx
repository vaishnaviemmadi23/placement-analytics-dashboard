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_data" sheetId="1" r:id="rId5"/>
    <sheet state="visible" name="student_count" sheetId="2" r:id="rId6"/>
    <sheet state="visible" name="Dashboard" sheetId="3" r:id="rId7"/>
    <sheet state="visible" name="Detail3-MECH" sheetId="4" r:id="rId8"/>
    <sheet state="visible" name="Detail2-CSE" sheetId="5" r:id="rId9"/>
    <sheet state="visible" name="Detail1-ECE" sheetId="6" r:id="rId10"/>
  </sheets>
  <definedNames>
    <definedName hidden="1" localSheetId="0" name="_xlnm._FilterDatabase">aw_data!$A$1:$I$122</definedName>
  </definedNames>
  <calcPr/>
  <pivotCaches>
    <pivotCache cacheId="0" r:id="rId11"/>
    <pivotCache cacheId="1" r:id="rId1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tc={09eaedbb-d85c-474a-88e6-2458ef314ce7}</author>
  </authors>
  <commentList>
    <comment authorId="0" ref="D122">
      <text>
        <t xml:space="preserve">above 7.5
</t>
      </text>
    </comment>
    <comment authorId="0" ref="H122">
      <text>
        <t xml:space="preserve">Average placements
</t>
      </text>
    </comment>
    <comment authorId="1" xr:uid="{09eaedbb-d85c-474a-88e6-2458ef314ce7}" ref="F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placed
</t>
      </text>
    </comment>
  </commentList>
</comments>
</file>

<file path=xl/sharedStrings.xml><?xml version="1.0" encoding="utf-8"?>
<sst xmlns="http://schemas.openxmlformats.org/spreadsheetml/2006/main" count="1113" uniqueCount="168">
  <si>
    <t>Student_ID</t>
  </si>
  <si>
    <t>Name</t>
  </si>
  <si>
    <t>Dept</t>
  </si>
  <si>
    <t>CGPA</t>
  </si>
  <si>
    <t>Skills</t>
  </si>
  <si>
    <t>Internship</t>
  </si>
  <si>
    <t>Company</t>
  </si>
  <si>
    <t>Package_LPA</t>
  </si>
  <si>
    <t>placement_status</t>
  </si>
  <si>
    <t>Aditya</t>
  </si>
  <si>
    <t>CIVIL</t>
  </si>
  <si>
    <t>AutoCAD</t>
  </si>
  <si>
    <t>No</t>
  </si>
  <si>
    <t/>
  </si>
  <si>
    <t>Ayaan</t>
  </si>
  <si>
    <t>Ayush</t>
  </si>
  <si>
    <t>Dev</t>
  </si>
  <si>
    <t>Devansh</t>
  </si>
  <si>
    <t>Kiaan</t>
  </si>
  <si>
    <t>Laksh</t>
  </si>
  <si>
    <t>Om</t>
  </si>
  <si>
    <t>Ritesh</t>
  </si>
  <si>
    <t>Varun</t>
  </si>
  <si>
    <t>Viraj</t>
  </si>
  <si>
    <t>Aarav</t>
  </si>
  <si>
    <t>CSE</t>
  </si>
  <si>
    <t>Python</t>
  </si>
  <si>
    <t>Yes</t>
  </si>
  <si>
    <t>TCS</t>
  </si>
  <si>
    <t>Aarohi</t>
  </si>
  <si>
    <t>Machine Learning</t>
  </si>
  <si>
    <t>Amazon</t>
  </si>
  <si>
    <t>Aashi</t>
  </si>
  <si>
    <t>Google</t>
  </si>
  <si>
    <t>Advaith</t>
  </si>
  <si>
    <t>Java</t>
  </si>
  <si>
    <t>Advik</t>
  </si>
  <si>
    <t>Infosys</t>
  </si>
  <si>
    <t>Anaira</t>
  </si>
  <si>
    <t>Anaya</t>
  </si>
  <si>
    <t>Anvi</t>
  </si>
  <si>
    <t>Arjun</t>
  </si>
  <si>
    <t>Charvi</t>
  </si>
  <si>
    <t>Daksh</t>
  </si>
  <si>
    <t>Wipro</t>
  </si>
  <si>
    <t>Ishani</t>
  </si>
  <si>
    <t>Microsoft</t>
  </si>
  <si>
    <t>Ishita</t>
  </si>
  <si>
    <t>Kiara</t>
  </si>
  <si>
    <t>Maira</t>
  </si>
  <si>
    <t>Meera</t>
  </si>
  <si>
    <t>Mohit</t>
  </si>
  <si>
    <t>SQL</t>
  </si>
  <si>
    <t>Myra</t>
  </si>
  <si>
    <t>Accenture</t>
  </si>
  <si>
    <t>Naina</t>
  </si>
  <si>
    <t>Nikhil</t>
  </si>
  <si>
    <t>Palak</t>
  </si>
  <si>
    <t>Pari</t>
  </si>
  <si>
    <t>Pranav</t>
  </si>
  <si>
    <t>Raghav</t>
  </si>
  <si>
    <t>Capgemini</t>
  </si>
  <si>
    <t>Raj</t>
  </si>
  <si>
    <t>Ritvik</t>
  </si>
  <si>
    <t>Riya</t>
  </si>
  <si>
    <t>Power BI</t>
  </si>
  <si>
    <t>Rudra</t>
  </si>
  <si>
    <t>Samaira</t>
  </si>
  <si>
    <t>Samar</t>
  </si>
  <si>
    <t>Siya</t>
  </si>
  <si>
    <t>Tara</t>
  </si>
  <si>
    <t>Tejas</t>
  </si>
  <si>
    <t>Vanya</t>
  </si>
  <si>
    <t>Veer</t>
  </si>
  <si>
    <t>Yamini</t>
  </si>
  <si>
    <t>Yug</t>
  </si>
  <si>
    <t>Zoya</t>
  </si>
  <si>
    <t>Aadhya</t>
  </si>
  <si>
    <t>ECE</t>
  </si>
  <si>
    <t>Embedded C</t>
  </si>
  <si>
    <t>Aarna</t>
  </si>
  <si>
    <t>Abeer</t>
  </si>
  <si>
    <t>Ahana</t>
  </si>
  <si>
    <t>Deloitte</t>
  </si>
  <si>
    <t>Angel</t>
  </si>
  <si>
    <t>Anika</t>
  </si>
  <si>
    <t>Tech Mahindra</t>
  </si>
  <si>
    <t>Arnav</t>
  </si>
  <si>
    <t>Atharv</t>
  </si>
  <si>
    <t>Diya</t>
  </si>
  <si>
    <t>Inaaya</t>
  </si>
  <si>
    <t>Ira</t>
  </si>
  <si>
    <t>Kashvi</t>
  </si>
  <si>
    <t>Kavya</t>
  </si>
  <si>
    <t>Krish</t>
  </si>
  <si>
    <t>Krishna</t>
  </si>
  <si>
    <t>Mishti</t>
  </si>
  <si>
    <t>Mysha</t>
  </si>
  <si>
    <t>Navika</t>
  </si>
  <si>
    <t>Navya</t>
  </si>
  <si>
    <t>Pihu</t>
  </si>
  <si>
    <t>Rohan</t>
  </si>
  <si>
    <t>Rudransh</t>
  </si>
  <si>
    <t>Ruhi</t>
  </si>
  <si>
    <t>Saanika</t>
  </si>
  <si>
    <t>Saanvi</t>
  </si>
  <si>
    <t>Saisha</t>
  </si>
  <si>
    <t>Shanaya</t>
  </si>
  <si>
    <t>Shivam</t>
  </si>
  <si>
    <t>Sia</t>
  </si>
  <si>
    <t>Tanya</t>
  </si>
  <si>
    <t>Yash</t>
  </si>
  <si>
    <t>Arush</t>
  </si>
  <si>
    <t>EEE</t>
  </si>
  <si>
    <t>Excel</t>
  </si>
  <si>
    <t>Harit</t>
  </si>
  <si>
    <t>Harsh</t>
  </si>
  <si>
    <t>Kartik</t>
  </si>
  <si>
    <t>Keshav</t>
  </si>
  <si>
    <t>Neil</t>
  </si>
  <si>
    <t>Ronit</t>
  </si>
  <si>
    <t>Siddharth</t>
  </si>
  <si>
    <t>Vihaan</t>
  </si>
  <si>
    <t>Vivaan</t>
  </si>
  <si>
    <t>Yuvan</t>
  </si>
  <si>
    <t>Aanya</t>
  </si>
  <si>
    <t>IT</t>
  </si>
  <si>
    <t>Data Analytics</t>
  </si>
  <si>
    <t>IBM</t>
  </si>
  <si>
    <t>Aditi</t>
  </si>
  <si>
    <t>Aleena</t>
  </si>
  <si>
    <t>Armaan</t>
  </si>
  <si>
    <t>Athira</t>
  </si>
  <si>
    <t>Avni</t>
  </si>
  <si>
    <t>Dhruv</t>
  </si>
  <si>
    <t>Kabir</t>
  </si>
  <si>
    <t>Cognizant</t>
  </si>
  <si>
    <t>Khushi</t>
  </si>
  <si>
    <t>Kunal</t>
  </si>
  <si>
    <t>Manav</t>
  </si>
  <si>
    <t>Nyra</t>
  </si>
  <si>
    <t>Parth</t>
  </si>
  <si>
    <t>Prisha</t>
  </si>
  <si>
    <t>Reet</t>
  </si>
  <si>
    <t>Riaan</t>
  </si>
  <si>
    <t>Rishi</t>
  </si>
  <si>
    <t>Sara</t>
  </si>
  <si>
    <t>Shruti</t>
  </si>
  <si>
    <t>Tanmay</t>
  </si>
  <si>
    <t>Tisha</t>
  </si>
  <si>
    <t>Trisha</t>
  </si>
  <si>
    <t>Vedant</t>
  </si>
  <si>
    <t>Viha</t>
  </si>
  <si>
    <t>Ishaan</t>
  </si>
  <si>
    <t>MECH</t>
  </si>
  <si>
    <t>Reyansh</t>
  </si>
  <si>
    <t>COUNT of Student_ID</t>
  </si>
  <si>
    <t>AVERAGE of Package_LPA</t>
  </si>
  <si>
    <t>COUNTA of Student_ID</t>
  </si>
  <si>
    <t>Grand Total</t>
  </si>
  <si>
    <t>NOT_PLACED</t>
  </si>
  <si>
    <t>PLACED</t>
  </si>
  <si>
    <t>PLACEMENT ANALYTICS DASHBOARD 📝</t>
  </si>
  <si>
    <r>
      <rPr>
        <rFont val="Arial"/>
        <b/>
        <color rgb="FF2E5990"/>
        <sz val="12.0"/>
      </rPr>
      <t>TOTAL STUDENTS</t>
    </r>
    <r>
      <rPr>
        <rFont val="Arial"/>
        <b/>
        <color rgb="FF2E5990"/>
        <sz val="14.0"/>
      </rPr>
      <t>👩🏻‍🎓</t>
    </r>
  </si>
  <si>
    <t>PLACEMENT % 📈</t>
  </si>
  <si>
    <t>AVERAGE PACKAGE💲</t>
  </si>
  <si>
    <r>
      <rPr>
        <rFont val="Arial"/>
        <b/>
        <color rgb="FF2E5990"/>
        <sz val="12.0"/>
      </rPr>
      <t>HIGHEST (LPA)</t>
    </r>
    <r>
      <rPr>
        <rFont val="Arial"/>
        <b/>
        <color rgb="FF2E5990"/>
        <sz val="14.0"/>
      </rPr>
      <t>💵</t>
    </r>
  </si>
  <si>
    <r>
      <rPr>
        <rFont val="Arial"/>
        <b/>
        <color rgb="FF2E5990"/>
        <sz val="12.0"/>
      </rPr>
      <t>NOT PLACED</t>
    </r>
    <r>
      <rPr>
        <rFont val="Arial"/>
        <b/>
        <color rgb="FF2E5990"/>
        <sz val="14.0"/>
      </rPr>
      <t>🙋🏼‍♂️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</si>
</sst>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21.0"/>
      <color rgb="FFFFFFFF"/>
      <name val="Arial"/>
      <scheme val="minor"/>
    </font>
    <font>
      <b/>
      <sz val="12.0"/>
      <color rgb="FF2E5990"/>
      <name val="Arial"/>
      <scheme val="minor"/>
    </font>
    <font/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E5990"/>
        <bgColor rgb="FF2E5990"/>
      </patternFill>
    </fill>
    <fill>
      <patternFill patternType="solid">
        <fgColor rgb="FFCFE2F3"/>
        <bgColor rgb="FFCFE2F3"/>
      </patternFill>
    </fill>
  </fills>
  <borders count="11">
    <border/>
    <border>
      <left style="thin">
        <color rgb="FF2E5990"/>
      </left>
      <top style="thin">
        <color rgb="FF2E5990"/>
      </top>
    </border>
    <border>
      <right style="thin">
        <color rgb="FF2E5990"/>
      </right>
      <top style="thin">
        <color rgb="FF2E5990"/>
      </top>
    </border>
    <border>
      <left style="thin">
        <color rgb="FF2E5990"/>
      </left>
      <bottom style="thin">
        <color rgb="FF2E5990"/>
      </bottom>
    </border>
    <border>
      <right style="thin">
        <color rgb="FF2E5990"/>
      </right>
      <bottom style="thin">
        <color rgb="FF2E599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4" xfId="0" applyFont="1" applyNumberFormat="1"/>
    <xf borderId="0" fillId="2" fontId="2" numFmtId="0" xfId="0" applyAlignment="1" applyFill="1" applyFont="1">
      <alignment horizontal="center" readingOrder="0"/>
    </xf>
    <xf borderId="0" fillId="2" fontId="1" numFmtId="0" xfId="0" applyFont="1"/>
    <xf borderId="1" fillId="3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3" fontId="3" numFmtId="0" xfId="0" applyAlignment="1" applyBorder="1" applyFont="1">
      <alignment horizontal="center"/>
    </xf>
    <xf borderId="4" fillId="0" fontId="4" numFmtId="0" xfId="0" applyBorder="1" applyFont="1"/>
    <xf borderId="3" fillId="3" fontId="1" numFmtId="165" xfId="0" applyAlignment="1" applyBorder="1" applyFont="1" applyNumberFormat="1">
      <alignment horizontal="center"/>
    </xf>
    <xf borderId="3" fillId="3" fontId="1" numFmtId="164" xfId="0" applyAlignment="1" applyBorder="1" applyFont="1" applyNumberFormat="1">
      <alignment horizontal="center"/>
    </xf>
    <xf borderId="3" fillId="3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5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3" pivot="0" name="Detail3-MECH-style">
      <tableStyleElement dxfId="3" type="headerRow"/>
      <tableStyleElement dxfId="4" type="firstRowStripe"/>
      <tableStyleElement dxfId="5" type="secondRowStripe"/>
    </tableStyle>
    <tableStyle count="3" pivot="0" name="Detail2-CSE-style">
      <tableStyleElement dxfId="3" type="headerRow"/>
      <tableStyleElement dxfId="4" type="firstRowStripe"/>
      <tableStyleElement dxfId="5" type="secondRowStripe"/>
    </tableStyle>
    <tableStyle count="3" pivot="0" name="Detail1-ECE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6D9EEB"/>
                </a:solidFill>
                <a:latin typeface="+mn-lt"/>
              </a:defRPr>
            </a:pPr>
            <a:r>
              <a:rPr b="0">
                <a:solidFill>
                  <a:srgbClr val="6D9EEB"/>
                </a:solidFill>
                <a:latin typeface="+mn-lt"/>
              </a:rPr>
              <a:t>STUDENT COUNT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student_count!$B$1</c:f>
            </c:strRef>
          </c:tx>
          <c:dPt>
            <c:idx val="0"/>
            <c:explosion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C9DAF8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3C78D8"/>
              </a:solidFill>
            </c:spPr>
          </c:dPt>
          <c:dPt>
            <c:idx val="4"/>
            <c:spPr>
              <a:solidFill>
                <a:srgbClr val="A2C4C9"/>
              </a:solidFill>
            </c:spPr>
          </c:dPt>
          <c:dPt>
            <c:idx val="5"/>
            <c:spPr>
              <a:solidFill>
                <a:srgbClr val="1C4587"/>
              </a:solidFill>
            </c:spPr>
          </c:dPt>
          <c:dPt>
            <c:idx val="6"/>
            <c:spPr>
              <a:solidFill>
                <a:srgbClr val="8AB2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student_count!$A$2:$A$8</c:f>
            </c:strRef>
          </c:cat>
          <c:val>
            <c:numRef>
              <c:f>student_count!$B$2:$B$8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PLACEMENT STATUS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student_count!$B$12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  <a:prstDash val="sysDot"/>
            </a:ln>
          </c:spPr>
          <c:cat>
            <c:strRef>
              <c:f>student_count!$A$13:$A$14</c:f>
            </c:strRef>
          </c:cat>
          <c:val>
            <c:numRef>
              <c:f>student_count!$B$13:$B$14</c:f>
              <c:numCache/>
            </c:numRef>
          </c:val>
        </c:ser>
        <c:axId val="1172608917"/>
        <c:axId val="964460850"/>
      </c:bar3DChart>
      <c:catAx>
        <c:axId val="1172608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placement_status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460850"/>
      </c:catAx>
      <c:valAx>
        <c:axId val="964460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Student_ID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6089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PACKAGE DEPARTMENT-WISE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student_count!$F$1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student_count!$E$2:$E$7</c:f>
            </c:strRef>
          </c:cat>
          <c:val>
            <c:numRef>
              <c:f>student_count!$F$2:$F$7</c:f>
              <c:numCache/>
            </c:numRef>
          </c:val>
        </c:ser>
        <c:axId val="164100090"/>
        <c:axId val="72763282"/>
      </c:bar3DChart>
      <c:catAx>
        <c:axId val="164100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63282"/>
      </c:catAx>
      <c:valAx>
        <c:axId val="727632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Package_LPA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1000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COMPANY HIRING COUNT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student_count!$I$1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cat>
            <c:strRef>
              <c:f>student_count!$H$2:$H$14</c:f>
            </c:strRef>
          </c:cat>
          <c:val>
            <c:numRef>
              <c:f>student_count!$I$2:$I$14</c:f>
              <c:numCache/>
            </c:numRef>
          </c:val>
        </c:ser>
        <c:axId val="94214251"/>
        <c:axId val="970411995"/>
      </c:barChart>
      <c:catAx>
        <c:axId val="942142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411995"/>
      </c:catAx>
      <c:valAx>
        <c:axId val="9704119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Student_ID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2142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6D9EEB"/>
                </a:solidFill>
                <a:latin typeface="+mn-lt"/>
              </a:defRPr>
            </a:pPr>
            <a:r>
              <a:rPr b="1">
                <a:solidFill>
                  <a:srgbClr val="6D9EEB"/>
                </a:solidFill>
                <a:latin typeface="+mn-lt"/>
              </a:rPr>
              <a:t>STUDENTS BY DEPT.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student_count!$B$1</c:f>
            </c:strRef>
          </c:tx>
          <c:dPt>
            <c:idx val="0"/>
            <c:explosion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C9DAF8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3C78D8"/>
              </a:solidFill>
            </c:spPr>
          </c:dPt>
          <c:dPt>
            <c:idx val="4"/>
            <c:spPr>
              <a:solidFill>
                <a:srgbClr val="A2C4C9"/>
              </a:solidFill>
            </c:spPr>
          </c:dPt>
          <c:dPt>
            <c:idx val="5"/>
            <c:spPr>
              <a:solidFill>
                <a:srgbClr val="1C4587"/>
              </a:solidFill>
            </c:spPr>
          </c:dPt>
          <c:dPt>
            <c:idx val="6"/>
            <c:spPr>
              <a:solidFill>
                <a:srgbClr val="8AB2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student_count!$A$2:$A$8</c:f>
            </c:strRef>
          </c:cat>
          <c:val>
            <c:numRef>
              <c:f>student_count!$B$2:$B$8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COMPANY HIRING COUNT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student_count!$I$1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cat>
            <c:strRef>
              <c:f>student_count!$H$2:$H$14</c:f>
            </c:strRef>
          </c:cat>
          <c:val>
            <c:numRef>
              <c:f>student_count!$I$2:$I$14</c:f>
              <c:numCache/>
            </c:numRef>
          </c:val>
        </c:ser>
        <c:axId val="841448013"/>
        <c:axId val="973205887"/>
      </c:barChart>
      <c:catAx>
        <c:axId val="8414480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205887"/>
      </c:catAx>
      <c:valAx>
        <c:axId val="9732058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Student_ID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4480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6D9EEB"/>
                </a:solidFill>
                <a:latin typeface="+mn-lt"/>
              </a:defRPr>
            </a:pPr>
            <a:r>
              <a:rPr b="1">
                <a:solidFill>
                  <a:srgbClr val="6D9EEB"/>
                </a:solidFill>
                <a:latin typeface="+mn-lt"/>
              </a:rPr>
              <a:t>AVERAGE LPA</a:t>
            </a:r>
          </a:p>
        </c:rich>
      </c:tx>
      <c:layout>
        <c:manualLayout>
          <c:xMode val="edge"/>
          <c:yMode val="edge"/>
          <c:x val="0.035306666666666674"/>
          <c:y val="0.04995918367346939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student_count!$F$1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student_count!$E$2:$E$7</c:f>
            </c:strRef>
          </c:cat>
          <c:val>
            <c:numRef>
              <c:f>student_count!$F$2:$F$7</c:f>
              <c:numCache/>
            </c:numRef>
          </c:val>
        </c:ser>
        <c:axId val="609284861"/>
        <c:axId val="1486832980"/>
      </c:barChart>
      <c:catAx>
        <c:axId val="609284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832980"/>
      </c:catAx>
      <c:valAx>
        <c:axId val="1486832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Package_LPA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284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PLACEMENT STATUS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student_count!$B$12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  <a:prstDash val="sysDot"/>
            </a:ln>
          </c:spPr>
          <c:dPt>
            <c:idx val="0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student_count!$A$13:$A$14</c:f>
            </c:strRef>
          </c:cat>
          <c:val>
            <c:numRef>
              <c:f>student_count!$B$13:$B$14</c:f>
              <c:numCache/>
            </c:numRef>
          </c:val>
        </c:ser>
        <c:axId val="262599005"/>
        <c:axId val="2056545675"/>
      </c:barChart>
      <c:catAx>
        <c:axId val="262599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placement_status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545675"/>
      </c:catAx>
      <c:valAx>
        <c:axId val="2056545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Student_ID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599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16</xdr:row>
      <xdr:rowOff>152400</xdr:rowOff>
    </xdr:from>
    <xdr:ext cx="3638550" cy="2257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114300</xdr:colOff>
      <xdr:row>30</xdr:row>
      <xdr:rowOff>142875</xdr:rowOff>
    </xdr:from>
    <xdr:ext cx="2990850" cy="2495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352425</xdr:colOff>
      <xdr:row>29</xdr:row>
      <xdr:rowOff>161925</xdr:rowOff>
    </xdr:from>
    <xdr:ext cx="5172075" cy="25908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952500</xdr:colOff>
      <xdr:row>14</xdr:row>
      <xdr:rowOff>180975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6</xdr:row>
      <xdr:rowOff>76200</xdr:rowOff>
    </xdr:from>
    <xdr:ext cx="3829050" cy="19526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809625</xdr:colOff>
      <xdr:row>6</xdr:row>
      <xdr:rowOff>76200</xdr:rowOff>
    </xdr:from>
    <xdr:ext cx="4781550" cy="34766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485775</xdr:colOff>
      <xdr:row>6</xdr:row>
      <xdr:rowOff>76200</xdr:rowOff>
    </xdr:from>
    <xdr:ext cx="3971925" cy="32194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304800</xdr:colOff>
      <xdr:row>16</xdr:row>
      <xdr:rowOff>123825</xdr:rowOff>
    </xdr:from>
    <xdr:ext cx="3829050" cy="22669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447675</xdr:colOff>
      <xdr:row>25</xdr:row>
      <xdr:rowOff>152400</xdr:rowOff>
    </xdr:from>
    <xdr:ext cx="7038975" cy="819150"/>
    <xdr:grpSp>
      <xdr:nvGrpSpPr>
        <xdr:cNvPr id="2" name="Shape 2" title="Drawing"/>
        <xdr:cNvGrpSpPr/>
      </xdr:nvGrpSpPr>
      <xdr:grpSpPr>
        <a:xfrm>
          <a:off x="588750" y="294375"/>
          <a:ext cx="7034550" cy="800400"/>
          <a:chOff x="588750" y="294375"/>
          <a:chExt cx="7034550" cy="800400"/>
        </a:xfrm>
      </xdr:grpSpPr>
      <xdr:sp>
        <xdr:nvSpPr>
          <xdr:cNvPr id="3" name="Shape 3"/>
          <xdr:cNvSpPr txBox="1"/>
        </xdr:nvSpPr>
        <xdr:spPr>
          <a:xfrm>
            <a:off x="2172300" y="294375"/>
            <a:ext cx="54510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588750" y="694575"/>
            <a:ext cx="58470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>
              <a:solidFill>
                <a:srgbClr val="6FA8DC"/>
              </a:solidFill>
            </a:endParaRPr>
          </a:p>
        </xdr:txBody>
      </xdr:sp>
    </xdr:grpSp>
    <xdr:clientData fLocksWithSheet="0"/>
  </xdr:oneCellAnchor>
  <xdr:oneCellAnchor>
    <xdr:from>
      <xdr:col>10</xdr:col>
      <xdr:colOff>857250</xdr:colOff>
      <xdr:row>24</xdr:row>
      <xdr:rowOff>104775</xdr:rowOff>
    </xdr:from>
    <xdr:ext cx="4057650" cy="419100"/>
    <xdr:grpSp>
      <xdr:nvGrpSpPr>
        <xdr:cNvPr id="2" name="Shape 2" title="Drawing"/>
        <xdr:cNvGrpSpPr/>
      </xdr:nvGrpSpPr>
      <xdr:grpSpPr>
        <a:xfrm>
          <a:off x="2080975" y="1248575"/>
          <a:ext cx="5542275" cy="400200"/>
          <a:chOff x="2080975" y="1248575"/>
          <a:chExt cx="5542275" cy="400200"/>
        </a:xfrm>
      </xdr:grpSpPr>
      <xdr:sp>
        <xdr:nvSpPr>
          <xdr:cNvPr id="5" name="Shape 5"/>
          <xdr:cNvSpPr txBox="1"/>
        </xdr:nvSpPr>
        <xdr:spPr>
          <a:xfrm>
            <a:off x="4547650" y="1248575"/>
            <a:ext cx="30756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2080975" y="1248575"/>
            <a:ext cx="4070700" cy="4002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6FA8DC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>
                <a:solidFill>
                  <a:srgbClr val="B7B7B7"/>
                </a:solidFill>
              </a:rPr>
              <a:t>Sai vaishnavi Emmadi</a:t>
            </a:r>
            <a:endParaRPr b="1" sz="1400">
              <a:solidFill>
                <a:srgbClr val="B7B7B7"/>
              </a:solidFill>
            </a:endParaRPr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aishnavi" id="{5bc85c6a-5a62-4a6e-8976-e122f34ef0f0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22" sheet="aw_data"/>
  </cacheSource>
  <cacheFields>
    <cacheField name="Student_ID" numFmtId="0">
      <sharedItems containsString="0" containsBlank="1" containsNumber="1" containsInteger="1">
        <n v="1007.0"/>
        <n v="1059.0"/>
        <n v="1035.0"/>
        <n v="1017.0"/>
        <n v="1079.0"/>
        <n v="1096.0"/>
        <n v="1088.0"/>
        <n v="1047.0"/>
        <n v="1108.0"/>
        <n v="1069.0"/>
        <n v="1120.0"/>
        <n v="1001.0"/>
        <n v="1048.0"/>
        <n v="1085.0"/>
        <n v="1106.0"/>
        <n v="1100.0"/>
        <n v="1097.0"/>
        <n v="1004.0"/>
        <n v="1115.0"/>
        <n v="1011.0"/>
        <n v="1070.0"/>
        <n v="1033.0"/>
        <n v="1076.0"/>
        <n v="1042.0"/>
        <n v="1089.0"/>
        <n v="1109.0"/>
        <n v="1014.0"/>
        <n v="1073.0"/>
        <n v="1008.0"/>
        <n v="1054.0"/>
        <n v="1045.0"/>
        <n v="1066.0"/>
        <n v="1030.0"/>
        <n v="1082.0"/>
        <n v="1057.0"/>
        <n v="1063.0"/>
        <n v="1039.0"/>
        <n v="1018.0"/>
        <n v="1021.0"/>
        <n v="1060.0"/>
        <n v="1051.0"/>
        <n v="1036.0"/>
        <n v="1024.0"/>
        <n v="1118.0"/>
        <n v="1093.0"/>
        <n v="1027.0"/>
        <n v="1103.0"/>
        <n v="1112.0"/>
        <n v="1080.0"/>
        <n v="1012.0"/>
        <n v="1111.0"/>
        <n v="1041.0"/>
        <n v="1074.0"/>
        <n v="1068.0"/>
        <n v="1016.0"/>
        <n v="1038.0"/>
        <n v="1053.0"/>
        <n v="1029.0"/>
        <n v="1002.0"/>
        <n v="1083.0"/>
        <n v="1022.0"/>
        <n v="1119.0"/>
        <n v="1034.0"/>
        <n v="1061.0"/>
        <n v="1009.0"/>
        <n v="1064.0"/>
        <n v="1087.0"/>
        <n v="1078.0"/>
        <n v="1026.0"/>
        <n v="1046.0"/>
        <n v="1114.0"/>
        <n v="1102.0"/>
        <n v="1050.0"/>
        <n v="1091.0"/>
        <n v="1006.0"/>
        <n v="1099.0"/>
        <n v="1058.0"/>
        <n v="1071.0"/>
        <n v="1107.0"/>
        <n v="1095.0"/>
        <n v="1019.0"/>
        <n v="1092.0"/>
        <n v="1116.0"/>
        <n v="1043.0"/>
        <n v="1104.0"/>
        <n v="1075.0"/>
        <n v="1023.0"/>
        <n v="1013.0"/>
        <n v="1084.0"/>
        <n v="1065.0"/>
        <n v="1031.0"/>
        <n v="1003.0"/>
        <n v="1055.0"/>
        <n v="1032.0"/>
        <n v="1062.0"/>
        <n v="1117.0"/>
        <n v="1077.0"/>
        <n v="1081.0"/>
        <n v="1020.0"/>
        <n v="1094.0"/>
        <n v="1015.0"/>
        <n v="1040.0"/>
        <n v="1010.0"/>
        <n v="1049.0"/>
        <n v="1037.0"/>
        <n v="1072.0"/>
        <n v="1110.0"/>
        <n v="1056.0"/>
        <n v="1105.0"/>
        <n v="1090.0"/>
        <n v="1098.0"/>
        <n v="1044.0"/>
        <n v="1028.0"/>
        <n v="1067.0"/>
        <n v="1113.0"/>
        <n v="1052.0"/>
        <n v="1086.0"/>
        <n v="1101.0"/>
        <n v="1005.0"/>
        <n v="1025.0"/>
        <m/>
      </sharedItems>
    </cacheField>
    <cacheField name="Name" numFmtId="0">
      <sharedItems containsBlank="1">
        <s v="Aditya"/>
        <s v="Ayaan"/>
        <s v="Ayush"/>
        <s v="Dev"/>
        <s v="Devansh"/>
        <s v="Kiaan"/>
        <s v="Laksh"/>
        <s v="Om"/>
        <s v="Ritesh"/>
        <s v="Varun"/>
        <s v="Viraj"/>
        <s v="Aarav"/>
        <s v="Aarohi"/>
        <s v="Aashi"/>
        <s v="Advaith"/>
        <s v="Advik"/>
        <s v="Anaira"/>
        <s v="Anaya"/>
        <s v="Anvi"/>
        <s v="Arjun"/>
        <s v="Charvi"/>
        <s v="Daksh"/>
        <s v="Ishani"/>
        <s v="Ishita"/>
        <s v="Kiara"/>
        <s v="Maira"/>
        <s v="Meera"/>
        <s v="Mohit"/>
        <s v="Myra"/>
        <s v="Naina"/>
        <s v="Nikhil"/>
        <s v="Palak"/>
        <s v="Pari"/>
        <s v="Pranav"/>
        <s v="Raghav"/>
        <s v="Raj"/>
        <s v="Ritvik"/>
        <s v="Riya"/>
        <s v="Rudra"/>
        <s v="Samaira"/>
        <s v="Samar"/>
        <s v="Siya"/>
        <s v="Tara"/>
        <s v="Tejas"/>
        <s v="Vanya"/>
        <s v="Veer"/>
        <s v="Yamini"/>
        <s v="Yug"/>
        <s v="Zoya"/>
        <s v="Aadhya"/>
        <s v="Aarna"/>
        <s v="Abeer"/>
        <s v="Ahana"/>
        <s v="Angel"/>
        <s v="Anika"/>
        <s v="Arnav"/>
        <s v="Atharv"/>
        <s v="Diya"/>
        <s v="Inaaya"/>
        <s v="Ira"/>
        <s v="Kashvi"/>
        <s v="Kavya"/>
        <s v="Krish"/>
        <s v="Krishna"/>
        <s v="Mishti"/>
        <s v="Mysha"/>
        <s v="Navika"/>
        <s v="Navya"/>
        <s v="Pihu"/>
        <s v="Rohan"/>
        <s v="Rudransh"/>
        <s v="Ruhi"/>
        <s v="Saanika"/>
        <s v="Saanvi"/>
        <s v="Saisha"/>
        <s v="Shanaya"/>
        <s v="Shivam"/>
        <s v="Sia"/>
        <s v="Tanya"/>
        <s v="Yash"/>
        <s v="Arush"/>
        <s v="Harit"/>
        <s v="Harsh"/>
        <s v="Kartik"/>
        <s v="Keshav"/>
        <s v="Neil"/>
        <s v="Ronit"/>
        <s v="Siddharth"/>
        <s v="Vihaan"/>
        <s v="Vivaan"/>
        <s v="Yuvan"/>
        <s v="Aanya"/>
        <s v="Aditi"/>
        <s v="Aleena"/>
        <s v="Armaan"/>
        <s v="Athira"/>
        <s v="Avni"/>
        <s v="Dhruv"/>
        <s v="Kabir"/>
        <s v="Khushi"/>
        <s v="Kunal"/>
        <s v="Manav"/>
        <s v="Nyra"/>
        <s v="Parth"/>
        <s v="Prisha"/>
        <s v="Reet"/>
        <s v="Riaan"/>
        <s v="Rishi"/>
        <s v="Sara"/>
        <s v="Shruti"/>
        <s v="Tanmay"/>
        <s v="Tisha"/>
        <s v="Trisha"/>
        <s v="Vedant"/>
        <s v="Viha"/>
        <s v="Ishaan"/>
        <s v="Reyansh"/>
        <m/>
      </sharedItems>
    </cacheField>
    <cacheField name="Dept" numFmtId="0">
      <sharedItems containsBlank="1">
        <s v="CIVIL"/>
        <s v="CSE"/>
        <s v="ECE"/>
        <s v="EEE"/>
        <s v="IT"/>
        <s v="MECH"/>
        <m/>
      </sharedItems>
    </cacheField>
    <cacheField name="CGPA" numFmtId="0">
      <sharedItems containsSemiMixedTypes="0" containsString="0" containsNumber="1">
        <n v="6.9"/>
        <n v="6.8"/>
        <n v="6.6"/>
        <n v="6.7"/>
        <n v="6.5"/>
        <n v="8.7"/>
        <n v="8.6"/>
        <n v="9.3"/>
        <n v="7.9"/>
        <n v="7.7"/>
        <n v="8.8"/>
        <n v="9.1"/>
        <n v="9.2"/>
        <n v="7.8"/>
        <n v="8.9"/>
        <n v="8.5"/>
        <n v="9.0"/>
        <n v="9.4"/>
        <n v="7.6"/>
        <n v="7.3"/>
        <n v="8.2"/>
        <n v="7.2"/>
        <n v="7.5"/>
        <n v="8.3"/>
        <n v="8.1"/>
        <n v="7.0"/>
        <n v="8.0"/>
        <n v="7.1"/>
        <n v="8.4"/>
        <n v="7.4"/>
        <n v="6.4"/>
        <n v="81.0"/>
      </sharedItems>
    </cacheField>
    <cacheField name="Skills" numFmtId="0">
      <sharedItems containsBlank="1">
        <s v="AutoCAD"/>
        <s v="Python"/>
        <s v="Machine Learning"/>
        <s v="Java"/>
        <s v="SQL"/>
        <s v="Power BI"/>
        <s v="Embedded C"/>
        <s v="Excel"/>
        <s v="Data Analytics"/>
        <m/>
      </sharedItems>
    </cacheField>
    <cacheField name="Internship">
      <sharedItems containsMixedTypes="1" containsNumber="1" containsInteger="1">
        <s v="No"/>
        <s v="Yes"/>
        <n v="85.0"/>
      </sharedItems>
    </cacheField>
    <cacheField name="Company" numFmtId="0">
      <sharedItems containsBlank="1">
        <s v=""/>
        <s v="TCS"/>
        <s v="Amazon"/>
        <s v="Google"/>
        <s v="Infosys"/>
        <s v="Wipro"/>
        <s v="Microsoft"/>
        <s v="Accenture"/>
        <s v="Capgemini"/>
        <s v="Deloitte"/>
        <s v="Tech Mahindra"/>
        <s v="IBM"/>
        <s v="Cognizant"/>
        <m/>
      </sharedItems>
    </cacheField>
    <cacheField name="Package_LPA" numFmtId="0">
      <sharedItems containsSemiMixedTypes="0" containsString="0" containsNumber="1">
        <n v="0.0"/>
        <n v="7.2"/>
        <n v="21.0"/>
        <n v="27.0"/>
        <n v="6.0"/>
        <n v="6.2"/>
        <n v="25.0"/>
        <n v="24.0"/>
        <n v="22.0"/>
        <n v="5.7"/>
        <n v="31.0"/>
        <n v="28.0"/>
        <n v="26.0"/>
        <n v="5.5"/>
        <n v="8.2"/>
        <n v="30.0"/>
        <n v="6.3"/>
        <n v="4.1"/>
        <n v="6.7"/>
        <n v="29.0"/>
        <n v="20.0"/>
        <n v="6.1"/>
        <n v="5.6"/>
        <n v="23.0"/>
        <n v="7.0"/>
        <n v="9.6"/>
        <n v="7.1"/>
        <n v="6.4"/>
        <n v="9.1"/>
        <n v="5.8"/>
        <n v="4.3"/>
        <n v="9.2"/>
        <n v="5.9"/>
        <n v="9.5"/>
        <n v="6.6"/>
        <n v="4.7"/>
        <n v="4.5"/>
        <n v="9.4"/>
        <n v="6.9"/>
        <n v="9.8"/>
        <n v="9.7"/>
        <n v="9.3"/>
        <n v="6.8"/>
        <n v="4.8"/>
        <n v="8.5"/>
        <n v="8.7"/>
        <n v="8.9"/>
        <n v="8.3"/>
        <n v="10.5"/>
        <n v="6.5"/>
        <n v="8.8"/>
        <n v="9.0"/>
        <n v="8.6"/>
        <n v="8.4"/>
        <n v="8.1"/>
        <n v="10.1"/>
        <n v="7.4"/>
        <n v="8.704166666666664"/>
      </sharedItems>
    </cacheField>
    <cacheField name="placement_status" numFmtId="0">
      <sharedItems containsBlank="1">
        <s v="NOT_PLACED"/>
        <s v="PLACED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21" sheet="aw_data"/>
  </cacheSource>
  <cacheFields>
    <cacheField name="Student_ID" numFmtId="0">
      <sharedItems containsSemiMixedTypes="0" containsString="0" containsNumber="1" containsInteger="1">
        <n v="1007.0"/>
        <n v="1059.0"/>
        <n v="1035.0"/>
        <n v="1017.0"/>
        <n v="1079.0"/>
        <n v="1096.0"/>
        <n v="1088.0"/>
        <n v="1047.0"/>
        <n v="1108.0"/>
        <n v="1069.0"/>
        <n v="1120.0"/>
        <n v="1001.0"/>
        <n v="1048.0"/>
        <n v="1085.0"/>
        <n v="1106.0"/>
        <n v="1100.0"/>
        <n v="1097.0"/>
        <n v="1004.0"/>
        <n v="1115.0"/>
        <n v="1011.0"/>
        <n v="1070.0"/>
        <n v="1033.0"/>
        <n v="1076.0"/>
        <n v="1042.0"/>
        <n v="1089.0"/>
        <n v="1109.0"/>
        <n v="1014.0"/>
        <n v="1073.0"/>
        <n v="1008.0"/>
        <n v="1054.0"/>
        <n v="1045.0"/>
        <n v="1066.0"/>
        <n v="1030.0"/>
        <n v="1082.0"/>
        <n v="1057.0"/>
        <n v="1063.0"/>
        <n v="1039.0"/>
        <n v="1018.0"/>
        <n v="1021.0"/>
        <n v="1060.0"/>
        <n v="1051.0"/>
        <n v="1036.0"/>
        <n v="1024.0"/>
        <n v="1118.0"/>
        <n v="1093.0"/>
        <n v="1027.0"/>
        <n v="1103.0"/>
        <n v="1112.0"/>
        <n v="1080.0"/>
        <n v="1012.0"/>
        <n v="1111.0"/>
        <n v="1041.0"/>
        <n v="1074.0"/>
        <n v="1068.0"/>
        <n v="1016.0"/>
        <n v="1038.0"/>
        <n v="1053.0"/>
        <n v="1029.0"/>
        <n v="1002.0"/>
        <n v="1083.0"/>
        <n v="1022.0"/>
        <n v="1119.0"/>
        <n v="1034.0"/>
        <n v="1061.0"/>
        <n v="1009.0"/>
        <n v="1064.0"/>
        <n v="1087.0"/>
        <n v="1078.0"/>
        <n v="1026.0"/>
        <n v="1046.0"/>
        <n v="1114.0"/>
        <n v="1102.0"/>
        <n v="1050.0"/>
        <n v="1091.0"/>
        <n v="1006.0"/>
        <n v="1099.0"/>
        <n v="1058.0"/>
        <n v="1071.0"/>
        <n v="1107.0"/>
        <n v="1095.0"/>
        <n v="1019.0"/>
        <n v="1092.0"/>
        <n v="1116.0"/>
        <n v="1043.0"/>
        <n v="1104.0"/>
        <n v="1075.0"/>
        <n v="1023.0"/>
        <n v="1013.0"/>
        <n v="1084.0"/>
        <n v="1065.0"/>
        <n v="1031.0"/>
        <n v="1003.0"/>
        <n v="1055.0"/>
        <n v="1032.0"/>
        <n v="1062.0"/>
        <n v="1117.0"/>
        <n v="1077.0"/>
        <n v="1081.0"/>
        <n v="1020.0"/>
        <n v="1094.0"/>
        <n v="1015.0"/>
        <n v="1040.0"/>
        <n v="1010.0"/>
        <n v="1049.0"/>
        <n v="1037.0"/>
        <n v="1072.0"/>
        <n v="1110.0"/>
        <n v="1056.0"/>
        <n v="1105.0"/>
        <n v="1090.0"/>
        <n v="1098.0"/>
        <n v="1044.0"/>
        <n v="1028.0"/>
        <n v="1067.0"/>
        <n v="1113.0"/>
        <n v="1052.0"/>
        <n v="1086.0"/>
        <n v="1101.0"/>
        <n v="1005.0"/>
        <n v="1025.0"/>
      </sharedItems>
    </cacheField>
    <cacheField name="Name" numFmtId="0">
      <sharedItems>
        <s v="Aditya"/>
        <s v="Ayaan"/>
        <s v="Ayush"/>
        <s v="Dev"/>
        <s v="Devansh"/>
        <s v="Kiaan"/>
        <s v="Laksh"/>
        <s v="Om"/>
        <s v="Ritesh"/>
        <s v="Varun"/>
        <s v="Viraj"/>
        <s v="Aarav"/>
        <s v="Aarohi"/>
        <s v="Aashi"/>
        <s v="Advaith"/>
        <s v="Advik"/>
        <s v="Anaira"/>
        <s v="Anaya"/>
        <s v="Anvi"/>
        <s v="Arjun"/>
        <s v="Charvi"/>
        <s v="Daksh"/>
        <s v="Ishani"/>
        <s v="Ishita"/>
        <s v="Kiara"/>
        <s v="Maira"/>
        <s v="Meera"/>
        <s v="Mohit"/>
        <s v="Myra"/>
        <s v="Naina"/>
        <s v="Nikhil"/>
        <s v="Palak"/>
        <s v="Pari"/>
        <s v="Pranav"/>
        <s v="Raghav"/>
        <s v="Raj"/>
        <s v="Ritvik"/>
        <s v="Riya"/>
        <s v="Rudra"/>
        <s v="Samaira"/>
        <s v="Samar"/>
        <s v="Siya"/>
        <s v="Tara"/>
        <s v="Tejas"/>
        <s v="Vanya"/>
        <s v="Veer"/>
        <s v="Yamini"/>
        <s v="Yug"/>
        <s v="Zoya"/>
        <s v="Aadhya"/>
        <s v="Aarna"/>
        <s v="Abeer"/>
        <s v="Ahana"/>
        <s v="Angel"/>
        <s v="Anika"/>
        <s v="Arnav"/>
        <s v="Atharv"/>
        <s v="Diya"/>
        <s v="Inaaya"/>
        <s v="Ira"/>
        <s v="Kashvi"/>
        <s v="Kavya"/>
        <s v="Krish"/>
        <s v="Krishna"/>
        <s v="Mishti"/>
        <s v="Mysha"/>
        <s v="Navika"/>
        <s v="Navya"/>
        <s v="Pihu"/>
        <s v="Rohan"/>
        <s v="Rudransh"/>
        <s v="Ruhi"/>
        <s v="Saanika"/>
        <s v="Saanvi"/>
        <s v="Saisha"/>
        <s v="Shanaya"/>
        <s v="Shivam"/>
        <s v="Sia"/>
        <s v="Tanya"/>
        <s v="Yash"/>
        <s v="Arush"/>
        <s v="Harit"/>
        <s v="Harsh"/>
        <s v="Kartik"/>
        <s v="Keshav"/>
        <s v="Neil"/>
        <s v="Ronit"/>
        <s v="Siddharth"/>
        <s v="Vihaan"/>
        <s v="Vivaan"/>
        <s v="Yuvan"/>
        <s v="Aanya"/>
        <s v="Aditi"/>
        <s v="Aleena"/>
        <s v="Armaan"/>
        <s v="Athira"/>
        <s v="Avni"/>
        <s v="Dhruv"/>
        <s v="Kabir"/>
        <s v="Khushi"/>
        <s v="Kunal"/>
        <s v="Manav"/>
        <s v="Nyra"/>
        <s v="Parth"/>
        <s v="Prisha"/>
        <s v="Reet"/>
        <s v="Riaan"/>
        <s v="Rishi"/>
        <s v="Sara"/>
        <s v="Shruti"/>
        <s v="Tanmay"/>
        <s v="Tisha"/>
        <s v="Trisha"/>
        <s v="Vedant"/>
        <s v="Viha"/>
        <s v="Ishaan"/>
        <s v="Reyansh"/>
      </sharedItems>
    </cacheField>
    <cacheField name="Dept" numFmtId="0">
      <sharedItems>
        <s v="CIVIL"/>
        <s v="CSE"/>
        <s v="ECE"/>
        <s v="EEE"/>
        <s v="IT"/>
        <s v="MECH"/>
      </sharedItems>
    </cacheField>
    <cacheField name="CGPA" numFmtId="0">
      <sharedItems containsSemiMixedTypes="0" containsString="0" containsNumber="1">
        <n v="6.9"/>
        <n v="6.8"/>
        <n v="6.6"/>
        <n v="6.7"/>
        <n v="6.5"/>
        <n v="8.7"/>
        <n v="8.6"/>
        <n v="9.3"/>
        <n v="7.9"/>
        <n v="7.7"/>
        <n v="8.8"/>
        <n v="9.1"/>
        <n v="9.2"/>
        <n v="7.8"/>
        <n v="8.9"/>
        <n v="8.5"/>
        <n v="9.0"/>
        <n v="9.4"/>
        <n v="7.6"/>
        <n v="7.3"/>
        <n v="8.2"/>
        <n v="7.2"/>
        <n v="7.5"/>
        <n v="8.3"/>
        <n v="8.1"/>
        <n v="7.0"/>
        <n v="8.0"/>
        <n v="7.1"/>
        <n v="8.4"/>
        <n v="7.4"/>
        <n v="6.4"/>
      </sharedItems>
    </cacheField>
    <cacheField name="Skills" numFmtId="0">
      <sharedItems>
        <s v="AutoCAD"/>
        <s v="Python"/>
        <s v="Machine Learning"/>
        <s v="Java"/>
        <s v="SQL"/>
        <s v="Power BI"/>
        <s v="Embedded C"/>
        <s v="Excel"/>
        <s v="Data Analytics"/>
      </sharedItems>
    </cacheField>
    <cacheField name="Internship" numFmtId="0">
      <sharedItems>
        <s v="No"/>
        <s v="Yes"/>
      </sharedItems>
    </cacheField>
    <cacheField name="Company" numFmtId="0">
      <sharedItems>
        <s v=""/>
        <s v="TCS"/>
        <s v="Amazon"/>
        <s v="Google"/>
        <s v="Infosys"/>
        <s v="Wipro"/>
        <s v="Microsoft"/>
        <s v="Accenture"/>
        <s v="Capgemini"/>
        <s v="Deloitte"/>
        <s v="Tech Mahindra"/>
        <s v="IBM"/>
        <s v="Cognizant"/>
      </sharedItems>
    </cacheField>
    <cacheField name="Package_LPA" numFmtId="0">
      <sharedItems containsSemiMixedTypes="0" containsString="0" containsNumber="1">
        <n v="0.0"/>
        <n v="7.2"/>
        <n v="21.0"/>
        <n v="27.0"/>
        <n v="6.0"/>
        <n v="6.2"/>
        <n v="25.0"/>
        <n v="24.0"/>
        <n v="22.0"/>
        <n v="5.7"/>
        <n v="31.0"/>
        <n v="28.0"/>
        <n v="26.0"/>
        <n v="5.5"/>
        <n v="8.2"/>
        <n v="30.0"/>
        <n v="6.3"/>
        <n v="4.1"/>
        <n v="6.7"/>
        <n v="29.0"/>
        <n v="20.0"/>
        <n v="6.1"/>
        <n v="5.6"/>
        <n v="23.0"/>
        <n v="7.0"/>
        <n v="9.6"/>
        <n v="7.1"/>
        <n v="6.4"/>
        <n v="9.1"/>
        <n v="5.8"/>
        <n v="4.3"/>
        <n v="9.2"/>
        <n v="5.9"/>
        <n v="9.5"/>
        <n v="6.6"/>
        <n v="4.7"/>
        <n v="4.5"/>
        <n v="9.4"/>
        <n v="6.9"/>
        <n v="9.8"/>
        <n v="9.7"/>
        <n v="9.3"/>
        <n v="6.8"/>
        <n v="4.8"/>
        <n v="8.5"/>
        <n v="8.7"/>
        <n v="8.9"/>
        <n v="8.3"/>
        <n v="10.5"/>
        <n v="6.5"/>
        <n v="8.8"/>
        <n v="9.0"/>
        <n v="8.6"/>
        <n v="8.4"/>
        <n v="8.1"/>
        <n v="10.1"/>
        <n v="7.4"/>
      </sharedItems>
    </cacheField>
    <cacheField name="placement_status" numFmtId="0">
      <sharedItems>
        <s v="NOT_PLACED"/>
        <s v="PLAC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tudent_count" cacheId="0" dataCaption="" compact="0" compactData="0">
  <location ref="A1:B9" firstHeaderRow="0" firstDataRow="1" firstDataCol="0"/>
  <pivotFields>
    <pivotField name="Stud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Dept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CG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S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ternship" compact="0" outline="0" multipleItemSelectionAllowed="1" showAll="0">
      <items>
        <item x="0"/>
        <item x="1"/>
        <item x="2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ackage_L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placement_status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COUNT of Student_ID" fld="0" subtotal="countNums" baseField="0"/>
  </dataFields>
</pivotTableDefinition>
</file>

<file path=xl/pivotTables/pivotTable2.xml><?xml version="1.0" encoding="utf-8"?>
<pivotTableDefinition xmlns="http://schemas.openxmlformats.org/spreadsheetml/2006/main" name="student_count 2" cacheId="1" dataCaption="" compact="0" compactData="0">
  <location ref="E1:F8" firstHeaderRow="0" firstDataRow="1" firstDataCol="0"/>
  <pivotFields>
    <pivotField name="Stude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Dept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CG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nternship" compact="0" outline="0" multipleItemSelectionAllowed="1" showAll="0">
      <items>
        <item x="0"/>
        <item x="1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ckage_LP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placement_status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AVERAGE of Package_LPA" fld="7" subtotal="average" baseField="0"/>
  </dataFields>
</pivotTableDefinition>
</file>

<file path=xl/pivotTables/pivotTable3.xml><?xml version="1.0" encoding="utf-8"?>
<pivotTableDefinition xmlns="http://schemas.openxmlformats.org/spreadsheetml/2006/main" name="student_count 3" cacheId="1" dataCaption="" compact="0" compactData="0">
  <location ref="H1:I15" firstHeaderRow="0" firstDataRow="1" firstDataCol="0"/>
  <pivotFields>
    <pivotField name="Stud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Dep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G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nternship" compact="0" outline="0" multipleItemSelectionAllowed="1" showAll="0">
      <items>
        <item x="0"/>
        <item x="1"/>
        <item t="default"/>
      </items>
    </pivotField>
    <pivotField name="Company" axis="axisRow" compact="0" outline="0" multipleItemSelectionAllowed="1" showAll="0" sortType="ascending">
      <items>
        <item x="0"/>
        <item x="7"/>
        <item x="2"/>
        <item x="8"/>
        <item x="12"/>
        <item x="9"/>
        <item x="3"/>
        <item x="11"/>
        <item x="4"/>
        <item x="6"/>
        <item x="1"/>
        <item x="10"/>
        <item x="5"/>
        <item t="default"/>
      </items>
    </pivotField>
    <pivotField name="Package_L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placement_status" compact="0" outline="0" multipleItemSelectionAllowed="1" showAll="0">
      <items>
        <item x="0"/>
        <item x="1"/>
        <item t="default"/>
      </items>
    </pivotField>
  </pivotFields>
  <rowFields>
    <field x="6"/>
  </rowFields>
  <dataFields>
    <dataField name="COUNTA of Student_ID" fld="0" subtotal="count" baseField="0"/>
  </dataFields>
</pivotTableDefinition>
</file>

<file path=xl/pivotTables/pivotTable4.xml><?xml version="1.0" encoding="utf-8"?>
<pivotTableDefinition xmlns="http://schemas.openxmlformats.org/spreadsheetml/2006/main" name="student_count 4" cacheId="1" dataCaption="" compact="0" compactData="0">
  <location ref="A12:B15" firstHeaderRow="0" firstDataRow="1" firstDataCol="0"/>
  <pivotFields>
    <pivotField name="Studen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Dep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G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S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Internship" compact="0" outline="0" multipleItemSelectionAllowed="1" showAll="0">
      <items>
        <item x="0"/>
        <item x="1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ckage_L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placement_status" axis="axisRow" compact="0" outline="0" multipleItemSelectionAllowed="1" showAll="0" sortType="ascending">
      <items>
        <item x="0"/>
        <item x="1"/>
        <item t="default"/>
      </items>
    </pivotField>
  </pivotFields>
  <rowFields>
    <field x="8"/>
  </rowFields>
  <dataFields>
    <dataField name="COUNTA of Student_ID" fld="0" subtotal="count" baseField="0"/>
  </dataFields>
</pivotTableDefinition>
</file>

<file path=xl/tables/table1.xml><?xml version="1.0" encoding="utf-8"?>
<table xmlns="http://schemas.openxmlformats.org/spreadsheetml/2006/main" ref="A1:I3" displayName="Table_1" name="Table_1" id="1">
  <tableColumns count="9">
    <tableColumn name="Student_ID" id="1"/>
    <tableColumn name="Name" id="2"/>
    <tableColumn name="Dept" id="3"/>
    <tableColumn name="CGPA" id="4"/>
    <tableColumn name="Skills" id="5"/>
    <tableColumn name="Internship" id="6"/>
    <tableColumn name="Company" id="7"/>
    <tableColumn name="Package_LPA" id="8"/>
    <tableColumn name="placement_status" id="9"/>
  </tableColumns>
  <tableStyleInfo name="Detail3-MECH-style" showColumnStripes="0" showFirstColumn="1" showLastColumn="1" showRowStripes="1"/>
</table>
</file>

<file path=xl/tables/table2.xml><?xml version="1.0" encoding="utf-8"?>
<table xmlns="http://schemas.openxmlformats.org/spreadsheetml/2006/main" ref="A1:I40" displayName="Table_2" name="Table_2" id="2">
  <tableColumns count="9">
    <tableColumn name="Student_ID" id="1"/>
    <tableColumn name="Name" id="2"/>
    <tableColumn name="Dept" id="3"/>
    <tableColumn name="CGPA" id="4"/>
    <tableColumn name="Skills" id="5"/>
    <tableColumn name="Internship" id="6"/>
    <tableColumn name="Company" id="7"/>
    <tableColumn name="Package_LPA" id="8"/>
    <tableColumn name="placement_status" id="9"/>
  </tableColumns>
  <tableStyleInfo name="Detail2-CSE-style" showColumnStripes="0" showFirstColumn="1" showLastColumn="1" showRowStripes="1"/>
</table>
</file>

<file path=xl/tables/table3.xml><?xml version="1.0" encoding="utf-8"?>
<table xmlns="http://schemas.openxmlformats.org/spreadsheetml/2006/main" ref="A1:I33" displayName="Table_3" name="Table_3" id="3">
  <tableColumns count="9">
    <tableColumn name="Student_ID" id="1"/>
    <tableColumn name="Name" id="2"/>
    <tableColumn name="Dept" id="3"/>
    <tableColumn name="CGPA" id="4"/>
    <tableColumn name="Skills" id="5"/>
    <tableColumn name="Internship" id="6"/>
    <tableColumn name="Company" id="7"/>
    <tableColumn name="Package_LPA" id="8"/>
    <tableColumn name="placement_status" id="9"/>
  </tableColumns>
  <tableStyleInfo name="Detail1-E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22" dT="2026-05-20T08:27:59.00" personId="{5bc85c6a-5a62-4a6e-8976-e122f34ef0f0}" id="{09eaedbb-d85c-474a-88e6-2458ef314ce7}" done="0">
    <x18tc:text xml:space="preserve">total placed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4.25"/>
    <col customWidth="1" min="5" max="5" width="14.25"/>
    <col customWidth="1" min="6" max="6" width="11.5"/>
    <col customWidth="1" min="7" max="7" width="11.88"/>
    <col customWidth="1" min="8" max="8" width="14.38"/>
    <col customWidth="1" min="9" max="9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1007.0</v>
      </c>
      <c r="B2" s="1" t="s">
        <v>9</v>
      </c>
      <c r="C2" s="1" t="s">
        <v>10</v>
      </c>
      <c r="D2" s="1">
        <v>6.9</v>
      </c>
      <c r="E2" s="1" t="s">
        <v>11</v>
      </c>
      <c r="F2" s="1" t="s">
        <v>12</v>
      </c>
      <c r="G2" s="1" t="s">
        <v>13</v>
      </c>
      <c r="H2" s="1">
        <v>0.0</v>
      </c>
      <c r="I2" s="2" t="str">
        <f t="shared" ref="I2:I121" si="1">IF(H2=0, "NOT_PLACED","PLACED")</f>
        <v>NOT_PLACED</v>
      </c>
    </row>
    <row r="3">
      <c r="A3" s="1">
        <v>1059.0</v>
      </c>
      <c r="B3" s="1" t="s">
        <v>14</v>
      </c>
      <c r="C3" s="1" t="s">
        <v>10</v>
      </c>
      <c r="D3" s="1">
        <v>6.8</v>
      </c>
      <c r="E3" s="1" t="s">
        <v>11</v>
      </c>
      <c r="F3" s="1" t="s">
        <v>12</v>
      </c>
      <c r="G3" s="1" t="s">
        <v>13</v>
      </c>
      <c r="H3" s="1">
        <v>0.0</v>
      </c>
      <c r="I3" s="2" t="str">
        <f t="shared" si="1"/>
        <v>NOT_PLACED</v>
      </c>
    </row>
    <row r="4">
      <c r="A4" s="1">
        <v>1035.0</v>
      </c>
      <c r="B4" s="1" t="s">
        <v>15</v>
      </c>
      <c r="C4" s="1" t="s">
        <v>10</v>
      </c>
      <c r="D4" s="1">
        <v>6.6</v>
      </c>
      <c r="E4" s="1" t="s">
        <v>11</v>
      </c>
      <c r="F4" s="1" t="s">
        <v>12</v>
      </c>
      <c r="G4" s="1" t="s">
        <v>13</v>
      </c>
      <c r="H4" s="1">
        <v>0.0</v>
      </c>
      <c r="I4" s="2" t="str">
        <f t="shared" si="1"/>
        <v>NOT_PLACED</v>
      </c>
    </row>
    <row r="5">
      <c r="A5" s="1">
        <v>1017.0</v>
      </c>
      <c r="B5" s="1" t="s">
        <v>16</v>
      </c>
      <c r="C5" s="1" t="s">
        <v>10</v>
      </c>
      <c r="D5" s="1">
        <v>6.7</v>
      </c>
      <c r="E5" s="1" t="s">
        <v>11</v>
      </c>
      <c r="F5" s="1" t="s">
        <v>12</v>
      </c>
      <c r="G5" s="1" t="s">
        <v>13</v>
      </c>
      <c r="H5" s="1">
        <v>0.0</v>
      </c>
      <c r="I5" s="2" t="str">
        <f t="shared" si="1"/>
        <v>NOT_PLACED</v>
      </c>
    </row>
    <row r="6">
      <c r="A6" s="1">
        <v>1079.0</v>
      </c>
      <c r="B6" s="1" t="s">
        <v>17</v>
      </c>
      <c r="C6" s="1" t="s">
        <v>10</v>
      </c>
      <c r="D6" s="1">
        <v>6.7</v>
      </c>
      <c r="E6" s="1" t="s">
        <v>11</v>
      </c>
      <c r="F6" s="1" t="s">
        <v>12</v>
      </c>
      <c r="G6" s="1" t="s">
        <v>13</v>
      </c>
      <c r="H6" s="1">
        <v>0.0</v>
      </c>
      <c r="I6" s="2" t="str">
        <f t="shared" si="1"/>
        <v>NOT_PLACED</v>
      </c>
    </row>
    <row r="7">
      <c r="A7" s="1">
        <v>1096.0</v>
      </c>
      <c r="B7" s="1" t="s">
        <v>18</v>
      </c>
      <c r="C7" s="1" t="s">
        <v>10</v>
      </c>
      <c r="D7" s="1">
        <v>6.6</v>
      </c>
      <c r="E7" s="1" t="s">
        <v>11</v>
      </c>
      <c r="F7" s="1" t="s">
        <v>12</v>
      </c>
      <c r="G7" s="1" t="s">
        <v>13</v>
      </c>
      <c r="H7" s="1">
        <v>0.0</v>
      </c>
      <c r="I7" s="2" t="str">
        <f t="shared" si="1"/>
        <v>NOT_PLACED</v>
      </c>
    </row>
    <row r="8">
      <c r="A8" s="1">
        <v>1088.0</v>
      </c>
      <c r="B8" s="1" t="s">
        <v>19</v>
      </c>
      <c r="C8" s="1" t="s">
        <v>10</v>
      </c>
      <c r="D8" s="1">
        <v>6.8</v>
      </c>
      <c r="E8" s="1" t="s">
        <v>11</v>
      </c>
      <c r="F8" s="1" t="s">
        <v>12</v>
      </c>
      <c r="G8" s="1" t="s">
        <v>13</v>
      </c>
      <c r="H8" s="1">
        <v>0.0</v>
      </c>
      <c r="I8" s="2" t="str">
        <f t="shared" si="1"/>
        <v>NOT_PLACED</v>
      </c>
    </row>
    <row r="9">
      <c r="A9" s="1">
        <v>1047.0</v>
      </c>
      <c r="B9" s="1" t="s">
        <v>20</v>
      </c>
      <c r="C9" s="1" t="s">
        <v>10</v>
      </c>
      <c r="D9" s="1">
        <v>6.5</v>
      </c>
      <c r="E9" s="1" t="s">
        <v>11</v>
      </c>
      <c r="F9" s="1" t="s">
        <v>12</v>
      </c>
      <c r="G9" s="1" t="s">
        <v>13</v>
      </c>
      <c r="H9" s="1">
        <v>0.0</v>
      </c>
      <c r="I9" s="2" t="str">
        <f t="shared" si="1"/>
        <v>NOT_PLACED</v>
      </c>
    </row>
    <row r="10">
      <c r="A10" s="1">
        <v>1108.0</v>
      </c>
      <c r="B10" s="1" t="s">
        <v>21</v>
      </c>
      <c r="C10" s="1" t="s">
        <v>10</v>
      </c>
      <c r="D10" s="1">
        <v>6.5</v>
      </c>
      <c r="E10" s="1" t="s">
        <v>11</v>
      </c>
      <c r="F10" s="1" t="s">
        <v>12</v>
      </c>
      <c r="G10" s="1" t="s">
        <v>13</v>
      </c>
      <c r="H10" s="1">
        <v>0.0</v>
      </c>
      <c r="I10" s="2" t="str">
        <f t="shared" si="1"/>
        <v>NOT_PLACED</v>
      </c>
    </row>
    <row r="11">
      <c r="A11" s="1">
        <v>1069.0</v>
      </c>
      <c r="B11" s="1" t="s">
        <v>22</v>
      </c>
      <c r="C11" s="1" t="s">
        <v>10</v>
      </c>
      <c r="D11" s="1">
        <v>6.5</v>
      </c>
      <c r="E11" s="1" t="s">
        <v>11</v>
      </c>
      <c r="F11" s="1" t="s">
        <v>12</v>
      </c>
      <c r="G11" s="1" t="s">
        <v>13</v>
      </c>
      <c r="H11" s="1">
        <v>0.0</v>
      </c>
      <c r="I11" s="2" t="str">
        <f t="shared" si="1"/>
        <v>NOT_PLACED</v>
      </c>
    </row>
    <row r="12">
      <c r="A12" s="1">
        <v>1120.0</v>
      </c>
      <c r="B12" s="1" t="s">
        <v>23</v>
      </c>
      <c r="C12" s="1" t="s">
        <v>10</v>
      </c>
      <c r="D12" s="1">
        <v>6.6</v>
      </c>
      <c r="E12" s="1" t="s">
        <v>11</v>
      </c>
      <c r="F12" s="1" t="s">
        <v>12</v>
      </c>
      <c r="G12" s="1" t="s">
        <v>13</v>
      </c>
      <c r="H12" s="1">
        <v>0.0</v>
      </c>
      <c r="I12" s="2" t="str">
        <f t="shared" si="1"/>
        <v>NOT_PLACED</v>
      </c>
    </row>
    <row r="13">
      <c r="A13" s="1">
        <v>1001.0</v>
      </c>
      <c r="B13" s="1" t="s">
        <v>24</v>
      </c>
      <c r="C13" s="1" t="s">
        <v>25</v>
      </c>
      <c r="D13" s="1">
        <v>8.7</v>
      </c>
      <c r="E13" s="1" t="s">
        <v>26</v>
      </c>
      <c r="F13" s="1" t="s">
        <v>27</v>
      </c>
      <c r="G13" s="1" t="s">
        <v>28</v>
      </c>
      <c r="H13" s="1">
        <v>7.2</v>
      </c>
      <c r="I13" s="2" t="str">
        <f t="shared" si="1"/>
        <v>PLACED</v>
      </c>
    </row>
    <row r="14">
      <c r="A14" s="1">
        <v>1048.0</v>
      </c>
      <c r="B14" s="1" t="s">
        <v>29</v>
      </c>
      <c r="C14" s="1" t="s">
        <v>25</v>
      </c>
      <c r="D14" s="1">
        <v>8.6</v>
      </c>
      <c r="E14" s="1" t="s">
        <v>30</v>
      </c>
      <c r="F14" s="1" t="s">
        <v>27</v>
      </c>
      <c r="G14" s="1" t="s">
        <v>31</v>
      </c>
      <c r="H14" s="1">
        <v>21.0</v>
      </c>
      <c r="I14" s="2" t="str">
        <f t="shared" si="1"/>
        <v>PLACED</v>
      </c>
    </row>
    <row r="15">
      <c r="A15" s="1">
        <v>1085.0</v>
      </c>
      <c r="B15" s="1" t="s">
        <v>32</v>
      </c>
      <c r="C15" s="1" t="s">
        <v>25</v>
      </c>
      <c r="D15" s="1">
        <v>9.3</v>
      </c>
      <c r="E15" s="1" t="s">
        <v>26</v>
      </c>
      <c r="F15" s="1" t="s">
        <v>27</v>
      </c>
      <c r="G15" s="1" t="s">
        <v>33</v>
      </c>
      <c r="H15" s="1">
        <v>27.0</v>
      </c>
      <c r="I15" s="2" t="str">
        <f t="shared" si="1"/>
        <v>PLACED</v>
      </c>
    </row>
    <row r="16">
      <c r="A16" s="1">
        <v>1106.0</v>
      </c>
      <c r="B16" s="1" t="s">
        <v>34</v>
      </c>
      <c r="C16" s="1" t="s">
        <v>25</v>
      </c>
      <c r="D16" s="1">
        <v>7.9</v>
      </c>
      <c r="E16" s="1" t="s">
        <v>35</v>
      </c>
      <c r="F16" s="1" t="s">
        <v>27</v>
      </c>
      <c r="G16" s="1" t="s">
        <v>28</v>
      </c>
      <c r="H16" s="1">
        <v>6.0</v>
      </c>
      <c r="I16" s="2" t="str">
        <f t="shared" si="1"/>
        <v>PLACED</v>
      </c>
    </row>
    <row r="17">
      <c r="A17" s="1">
        <v>1100.0</v>
      </c>
      <c r="B17" s="1" t="s">
        <v>36</v>
      </c>
      <c r="C17" s="1" t="s">
        <v>25</v>
      </c>
      <c r="D17" s="1">
        <v>7.7</v>
      </c>
      <c r="E17" s="1" t="s">
        <v>26</v>
      </c>
      <c r="F17" s="1" t="s">
        <v>27</v>
      </c>
      <c r="G17" s="1" t="s">
        <v>37</v>
      </c>
      <c r="H17" s="1">
        <v>6.2</v>
      </c>
      <c r="I17" s="2" t="str">
        <f t="shared" si="1"/>
        <v>PLACED</v>
      </c>
    </row>
    <row r="18">
      <c r="A18" s="1">
        <v>1097.0</v>
      </c>
      <c r="B18" s="1" t="s">
        <v>38</v>
      </c>
      <c r="C18" s="1" t="s">
        <v>25</v>
      </c>
      <c r="D18" s="1">
        <v>8.8</v>
      </c>
      <c r="E18" s="1" t="s">
        <v>30</v>
      </c>
      <c r="F18" s="1" t="s">
        <v>27</v>
      </c>
      <c r="G18" s="1" t="s">
        <v>33</v>
      </c>
      <c r="H18" s="1">
        <v>25.0</v>
      </c>
      <c r="I18" s="2" t="str">
        <f t="shared" si="1"/>
        <v>PLACED</v>
      </c>
    </row>
    <row r="19">
      <c r="A19" s="1">
        <v>1004.0</v>
      </c>
      <c r="B19" s="1" t="s">
        <v>39</v>
      </c>
      <c r="C19" s="1" t="s">
        <v>25</v>
      </c>
      <c r="D19" s="1">
        <v>9.1</v>
      </c>
      <c r="E19" s="1" t="s">
        <v>26</v>
      </c>
      <c r="F19" s="1" t="s">
        <v>27</v>
      </c>
      <c r="G19" s="1" t="s">
        <v>33</v>
      </c>
      <c r="H19" s="1">
        <v>24.0</v>
      </c>
      <c r="I19" s="2" t="str">
        <f t="shared" si="1"/>
        <v>PLACED</v>
      </c>
    </row>
    <row r="20">
      <c r="A20" s="1">
        <v>1115.0</v>
      </c>
      <c r="B20" s="1" t="s">
        <v>40</v>
      </c>
      <c r="C20" s="1" t="s">
        <v>25</v>
      </c>
      <c r="D20" s="1">
        <v>9.2</v>
      </c>
      <c r="E20" s="1" t="s">
        <v>30</v>
      </c>
      <c r="F20" s="1" t="s">
        <v>27</v>
      </c>
      <c r="G20" s="1" t="s">
        <v>31</v>
      </c>
      <c r="H20" s="1">
        <v>24.0</v>
      </c>
      <c r="I20" s="2" t="str">
        <f t="shared" si="1"/>
        <v>PLACED</v>
      </c>
    </row>
    <row r="21">
      <c r="A21" s="1">
        <v>1011.0</v>
      </c>
      <c r="B21" s="1" t="s">
        <v>41</v>
      </c>
      <c r="C21" s="1" t="s">
        <v>25</v>
      </c>
      <c r="D21" s="1">
        <v>7.8</v>
      </c>
      <c r="E21" s="1" t="s">
        <v>35</v>
      </c>
      <c r="F21" s="1" t="s">
        <v>27</v>
      </c>
      <c r="G21" s="1" t="s">
        <v>37</v>
      </c>
      <c r="H21" s="1">
        <v>6.2</v>
      </c>
      <c r="I21" s="2" t="str">
        <f t="shared" si="1"/>
        <v>PLACED</v>
      </c>
    </row>
    <row r="22">
      <c r="A22" s="1">
        <v>1070.0</v>
      </c>
      <c r="B22" s="1" t="s">
        <v>42</v>
      </c>
      <c r="C22" s="1" t="s">
        <v>25</v>
      </c>
      <c r="D22" s="1">
        <v>8.8</v>
      </c>
      <c r="E22" s="1" t="s">
        <v>26</v>
      </c>
      <c r="F22" s="1" t="s">
        <v>27</v>
      </c>
      <c r="G22" s="1" t="s">
        <v>33</v>
      </c>
      <c r="H22" s="1">
        <v>22.0</v>
      </c>
      <c r="I22" s="2" t="str">
        <f t="shared" si="1"/>
        <v>PLACED</v>
      </c>
    </row>
    <row r="23">
      <c r="A23" s="1">
        <v>1033.0</v>
      </c>
      <c r="B23" s="1" t="s">
        <v>43</v>
      </c>
      <c r="C23" s="1" t="s">
        <v>25</v>
      </c>
      <c r="D23" s="1">
        <v>7.9</v>
      </c>
      <c r="E23" s="1" t="s">
        <v>26</v>
      </c>
      <c r="F23" s="1" t="s">
        <v>27</v>
      </c>
      <c r="G23" s="1" t="s">
        <v>44</v>
      </c>
      <c r="H23" s="1">
        <v>5.7</v>
      </c>
      <c r="I23" s="2" t="str">
        <f t="shared" si="1"/>
        <v>PLACED</v>
      </c>
    </row>
    <row r="24">
      <c r="A24" s="1">
        <v>1076.0</v>
      </c>
      <c r="B24" s="1" t="s">
        <v>45</v>
      </c>
      <c r="C24" s="1" t="s">
        <v>25</v>
      </c>
      <c r="D24" s="1">
        <v>9.2</v>
      </c>
      <c r="E24" s="1" t="s">
        <v>30</v>
      </c>
      <c r="F24" s="1" t="s">
        <v>27</v>
      </c>
      <c r="G24" s="1" t="s">
        <v>46</v>
      </c>
      <c r="H24" s="1">
        <v>31.0</v>
      </c>
      <c r="I24" s="2" t="str">
        <f t="shared" si="1"/>
        <v>PLACED</v>
      </c>
    </row>
    <row r="25">
      <c r="A25" s="1">
        <v>1042.0</v>
      </c>
      <c r="B25" s="1" t="s">
        <v>47</v>
      </c>
      <c r="C25" s="1" t="s">
        <v>25</v>
      </c>
      <c r="D25" s="1">
        <v>9.2</v>
      </c>
      <c r="E25" s="1" t="s">
        <v>26</v>
      </c>
      <c r="F25" s="1" t="s">
        <v>27</v>
      </c>
      <c r="G25" s="1" t="s">
        <v>46</v>
      </c>
      <c r="H25" s="1">
        <v>27.0</v>
      </c>
      <c r="I25" s="2" t="str">
        <f t="shared" si="1"/>
        <v>PLACED</v>
      </c>
    </row>
    <row r="26">
      <c r="A26" s="1">
        <v>1089.0</v>
      </c>
      <c r="B26" s="1" t="s">
        <v>48</v>
      </c>
      <c r="C26" s="1" t="s">
        <v>25</v>
      </c>
      <c r="D26" s="1">
        <v>8.7</v>
      </c>
      <c r="E26" s="1" t="s">
        <v>30</v>
      </c>
      <c r="F26" s="1" t="s">
        <v>27</v>
      </c>
      <c r="G26" s="1" t="s">
        <v>46</v>
      </c>
      <c r="H26" s="1">
        <v>28.0</v>
      </c>
      <c r="I26" s="2" t="str">
        <f t="shared" si="1"/>
        <v>PLACED</v>
      </c>
    </row>
    <row r="27">
      <c r="A27" s="1">
        <v>1109.0</v>
      </c>
      <c r="B27" s="1" t="s">
        <v>49</v>
      </c>
      <c r="C27" s="1" t="s">
        <v>25</v>
      </c>
      <c r="D27" s="1">
        <v>8.9</v>
      </c>
      <c r="E27" s="1" t="s">
        <v>30</v>
      </c>
      <c r="F27" s="1" t="s">
        <v>27</v>
      </c>
      <c r="G27" s="1" t="s">
        <v>33</v>
      </c>
      <c r="H27" s="1">
        <v>26.0</v>
      </c>
      <c r="I27" s="2" t="str">
        <f t="shared" si="1"/>
        <v>PLACED</v>
      </c>
    </row>
    <row r="28">
      <c r="A28" s="1">
        <v>1014.0</v>
      </c>
      <c r="B28" s="1" t="s">
        <v>50</v>
      </c>
      <c r="C28" s="1" t="s">
        <v>25</v>
      </c>
      <c r="D28" s="1">
        <v>9.3</v>
      </c>
      <c r="E28" s="1" t="s">
        <v>30</v>
      </c>
      <c r="F28" s="1" t="s">
        <v>27</v>
      </c>
      <c r="G28" s="1" t="s">
        <v>46</v>
      </c>
      <c r="H28" s="1">
        <v>28.0</v>
      </c>
      <c r="I28" s="2" t="str">
        <f t="shared" si="1"/>
        <v>PLACED</v>
      </c>
    </row>
    <row r="29">
      <c r="A29" s="1">
        <v>1073.0</v>
      </c>
      <c r="B29" s="1" t="s">
        <v>51</v>
      </c>
      <c r="C29" s="1" t="s">
        <v>25</v>
      </c>
      <c r="D29" s="1">
        <v>7.7</v>
      </c>
      <c r="E29" s="1" t="s">
        <v>52</v>
      </c>
      <c r="F29" s="1" t="s">
        <v>27</v>
      </c>
      <c r="G29" s="1" t="s">
        <v>44</v>
      </c>
      <c r="H29" s="1">
        <v>5.5</v>
      </c>
      <c r="I29" s="2" t="str">
        <f t="shared" si="1"/>
        <v>PLACED</v>
      </c>
    </row>
    <row r="30">
      <c r="A30" s="1">
        <v>1008.0</v>
      </c>
      <c r="B30" s="1" t="s">
        <v>53</v>
      </c>
      <c r="C30" s="1" t="s">
        <v>25</v>
      </c>
      <c r="D30" s="1">
        <v>8.5</v>
      </c>
      <c r="E30" s="1" t="s">
        <v>52</v>
      </c>
      <c r="F30" s="1" t="s">
        <v>27</v>
      </c>
      <c r="G30" s="1" t="s">
        <v>54</v>
      </c>
      <c r="H30" s="1">
        <v>8.2</v>
      </c>
      <c r="I30" s="2" t="str">
        <f t="shared" si="1"/>
        <v>PLACED</v>
      </c>
    </row>
    <row r="31">
      <c r="A31" s="1">
        <v>1054.0</v>
      </c>
      <c r="B31" s="1" t="s">
        <v>55</v>
      </c>
      <c r="C31" s="1" t="s">
        <v>25</v>
      </c>
      <c r="D31" s="1">
        <v>9.1</v>
      </c>
      <c r="E31" s="1" t="s">
        <v>30</v>
      </c>
      <c r="F31" s="1" t="s">
        <v>27</v>
      </c>
      <c r="G31" s="1" t="s">
        <v>33</v>
      </c>
      <c r="H31" s="1">
        <v>26.0</v>
      </c>
      <c r="I31" s="2" t="str">
        <f t="shared" si="1"/>
        <v>PLACED</v>
      </c>
    </row>
    <row r="32">
      <c r="A32" s="1">
        <v>1045.0</v>
      </c>
      <c r="B32" s="1" t="s">
        <v>56</v>
      </c>
      <c r="C32" s="1" t="s">
        <v>25</v>
      </c>
      <c r="D32" s="1">
        <v>7.8</v>
      </c>
      <c r="E32" s="1" t="s">
        <v>35</v>
      </c>
      <c r="F32" s="1" t="s">
        <v>27</v>
      </c>
      <c r="G32" s="1" t="s">
        <v>37</v>
      </c>
      <c r="H32" s="1">
        <v>6.0</v>
      </c>
      <c r="I32" s="2" t="str">
        <f t="shared" si="1"/>
        <v>PLACED</v>
      </c>
    </row>
    <row r="33">
      <c r="A33" s="1">
        <v>1066.0</v>
      </c>
      <c r="B33" s="1" t="s">
        <v>57</v>
      </c>
      <c r="C33" s="1" t="s">
        <v>25</v>
      </c>
      <c r="D33" s="1">
        <v>9.0</v>
      </c>
      <c r="E33" s="1" t="s">
        <v>30</v>
      </c>
      <c r="F33" s="1" t="s">
        <v>27</v>
      </c>
      <c r="G33" s="1" t="s">
        <v>31</v>
      </c>
      <c r="H33" s="1">
        <v>24.0</v>
      </c>
      <c r="I33" s="2" t="str">
        <f t="shared" si="1"/>
        <v>PLACED</v>
      </c>
    </row>
    <row r="34">
      <c r="A34" s="1">
        <v>1030.0</v>
      </c>
      <c r="B34" s="1" t="s">
        <v>58</v>
      </c>
      <c r="C34" s="1" t="s">
        <v>25</v>
      </c>
      <c r="D34" s="1">
        <v>9.4</v>
      </c>
      <c r="E34" s="1" t="s">
        <v>30</v>
      </c>
      <c r="F34" s="1" t="s">
        <v>27</v>
      </c>
      <c r="G34" s="1" t="s">
        <v>46</v>
      </c>
      <c r="H34" s="1">
        <v>30.0</v>
      </c>
      <c r="I34" s="2" t="str">
        <f t="shared" si="1"/>
        <v>PLACED</v>
      </c>
    </row>
    <row r="35">
      <c r="A35" s="1">
        <v>1082.0</v>
      </c>
      <c r="B35" s="1" t="s">
        <v>59</v>
      </c>
      <c r="C35" s="1" t="s">
        <v>25</v>
      </c>
      <c r="D35" s="1">
        <v>7.8</v>
      </c>
      <c r="E35" s="1" t="s">
        <v>52</v>
      </c>
      <c r="F35" s="1" t="s">
        <v>27</v>
      </c>
      <c r="G35" s="1" t="s">
        <v>44</v>
      </c>
      <c r="H35" s="1">
        <v>5.7</v>
      </c>
      <c r="I35" s="2" t="str">
        <f t="shared" si="1"/>
        <v>PLACED</v>
      </c>
    </row>
    <row r="36">
      <c r="A36" s="1">
        <v>1057.0</v>
      </c>
      <c r="B36" s="1" t="s">
        <v>60</v>
      </c>
      <c r="C36" s="1" t="s">
        <v>25</v>
      </c>
      <c r="D36" s="1">
        <v>7.6</v>
      </c>
      <c r="E36" s="1" t="s">
        <v>52</v>
      </c>
      <c r="F36" s="1" t="s">
        <v>27</v>
      </c>
      <c r="G36" s="1" t="s">
        <v>61</v>
      </c>
      <c r="H36" s="1">
        <v>6.2</v>
      </c>
      <c r="I36" s="2" t="str">
        <f t="shared" si="1"/>
        <v>PLACED</v>
      </c>
    </row>
    <row r="37">
      <c r="A37" s="1">
        <v>1063.0</v>
      </c>
      <c r="B37" s="1" t="s">
        <v>62</v>
      </c>
      <c r="C37" s="1" t="s">
        <v>25</v>
      </c>
      <c r="D37" s="1">
        <v>7.9</v>
      </c>
      <c r="E37" s="1" t="s">
        <v>35</v>
      </c>
      <c r="F37" s="1" t="s">
        <v>27</v>
      </c>
      <c r="G37" s="1" t="s">
        <v>37</v>
      </c>
      <c r="H37" s="1">
        <v>6.3</v>
      </c>
      <c r="I37" s="2" t="str">
        <f t="shared" si="1"/>
        <v>PLACED</v>
      </c>
    </row>
    <row r="38">
      <c r="A38" s="1">
        <v>1039.0</v>
      </c>
      <c r="B38" s="1" t="s">
        <v>63</v>
      </c>
      <c r="C38" s="1" t="s">
        <v>25</v>
      </c>
      <c r="D38" s="1">
        <v>7.3</v>
      </c>
      <c r="E38" s="1" t="s">
        <v>26</v>
      </c>
      <c r="F38" s="1" t="s">
        <v>12</v>
      </c>
      <c r="G38" s="1" t="s">
        <v>28</v>
      </c>
      <c r="H38" s="1">
        <v>4.1</v>
      </c>
      <c r="I38" s="2" t="str">
        <f t="shared" si="1"/>
        <v>PLACED</v>
      </c>
    </row>
    <row r="39">
      <c r="A39" s="1">
        <v>1018.0</v>
      </c>
      <c r="B39" s="1" t="s">
        <v>64</v>
      </c>
      <c r="C39" s="1" t="s">
        <v>25</v>
      </c>
      <c r="D39" s="1">
        <v>8.8</v>
      </c>
      <c r="E39" s="1" t="s">
        <v>65</v>
      </c>
      <c r="F39" s="1" t="s">
        <v>27</v>
      </c>
      <c r="G39" s="1" t="s">
        <v>31</v>
      </c>
      <c r="H39" s="1">
        <v>22.0</v>
      </c>
      <c r="I39" s="2" t="str">
        <f t="shared" si="1"/>
        <v>PLACED</v>
      </c>
    </row>
    <row r="40">
      <c r="A40" s="1">
        <v>1021.0</v>
      </c>
      <c r="B40" s="1" t="s">
        <v>66</v>
      </c>
      <c r="C40" s="1" t="s">
        <v>25</v>
      </c>
      <c r="D40" s="1">
        <v>8.2</v>
      </c>
      <c r="E40" s="1" t="s">
        <v>52</v>
      </c>
      <c r="F40" s="1" t="s">
        <v>27</v>
      </c>
      <c r="G40" s="1" t="s">
        <v>28</v>
      </c>
      <c r="H40" s="1">
        <v>6.7</v>
      </c>
      <c r="I40" s="2" t="str">
        <f t="shared" si="1"/>
        <v>PLACED</v>
      </c>
    </row>
    <row r="41">
      <c r="A41" s="1">
        <v>1060.0</v>
      </c>
      <c r="B41" s="1" t="s">
        <v>67</v>
      </c>
      <c r="C41" s="1" t="s">
        <v>25</v>
      </c>
      <c r="D41" s="1">
        <v>8.7</v>
      </c>
      <c r="E41" s="1" t="s">
        <v>30</v>
      </c>
      <c r="F41" s="1" t="s">
        <v>27</v>
      </c>
      <c r="G41" s="1" t="s">
        <v>46</v>
      </c>
      <c r="H41" s="1">
        <v>29.0</v>
      </c>
      <c r="I41" s="2" t="str">
        <f t="shared" si="1"/>
        <v>PLACED</v>
      </c>
    </row>
    <row r="42">
      <c r="A42" s="1">
        <v>1051.0</v>
      </c>
      <c r="B42" s="1" t="s">
        <v>68</v>
      </c>
      <c r="C42" s="1" t="s">
        <v>25</v>
      </c>
      <c r="D42" s="1">
        <v>7.2</v>
      </c>
      <c r="E42" s="1" t="s">
        <v>52</v>
      </c>
      <c r="F42" s="1" t="s">
        <v>12</v>
      </c>
      <c r="G42" s="1" t="s">
        <v>13</v>
      </c>
      <c r="H42" s="1">
        <v>0.0</v>
      </c>
      <c r="I42" s="2" t="str">
        <f t="shared" si="1"/>
        <v>NOT_PLACED</v>
      </c>
    </row>
    <row r="43">
      <c r="A43" s="1">
        <v>1036.0</v>
      </c>
      <c r="B43" s="1" t="s">
        <v>69</v>
      </c>
      <c r="C43" s="1" t="s">
        <v>25</v>
      </c>
      <c r="D43" s="1">
        <v>8.9</v>
      </c>
      <c r="E43" s="1" t="s">
        <v>52</v>
      </c>
      <c r="F43" s="1" t="s">
        <v>27</v>
      </c>
      <c r="G43" s="1" t="s">
        <v>31</v>
      </c>
      <c r="H43" s="1">
        <v>20.0</v>
      </c>
      <c r="I43" s="2" t="str">
        <f t="shared" si="1"/>
        <v>PLACED</v>
      </c>
    </row>
    <row r="44">
      <c r="A44" s="1">
        <v>1024.0</v>
      </c>
      <c r="B44" s="1" t="s">
        <v>70</v>
      </c>
      <c r="C44" s="1" t="s">
        <v>25</v>
      </c>
      <c r="D44" s="1">
        <v>9.0</v>
      </c>
      <c r="E44" s="1" t="s">
        <v>30</v>
      </c>
      <c r="F44" s="1" t="s">
        <v>27</v>
      </c>
      <c r="G44" s="1" t="s">
        <v>33</v>
      </c>
      <c r="H44" s="1">
        <v>25.0</v>
      </c>
      <c r="I44" s="2" t="str">
        <f t="shared" si="1"/>
        <v>PLACED</v>
      </c>
    </row>
    <row r="45">
      <c r="A45" s="1">
        <v>1118.0</v>
      </c>
      <c r="B45" s="1" t="s">
        <v>71</v>
      </c>
      <c r="C45" s="1" t="s">
        <v>25</v>
      </c>
      <c r="D45" s="1">
        <v>7.8</v>
      </c>
      <c r="E45" s="1" t="s">
        <v>52</v>
      </c>
      <c r="F45" s="1" t="s">
        <v>27</v>
      </c>
      <c r="G45" s="1" t="s">
        <v>28</v>
      </c>
      <c r="H45" s="1">
        <v>6.3</v>
      </c>
      <c r="I45" s="2" t="str">
        <f t="shared" si="1"/>
        <v>PLACED</v>
      </c>
    </row>
    <row r="46">
      <c r="A46" s="1">
        <v>1093.0</v>
      </c>
      <c r="B46" s="1" t="s">
        <v>72</v>
      </c>
      <c r="C46" s="1" t="s">
        <v>25</v>
      </c>
      <c r="D46" s="1">
        <v>9.1</v>
      </c>
      <c r="E46" s="1" t="s">
        <v>26</v>
      </c>
      <c r="F46" s="1" t="s">
        <v>27</v>
      </c>
      <c r="G46" s="1" t="s">
        <v>31</v>
      </c>
      <c r="H46" s="1">
        <v>24.0</v>
      </c>
      <c r="I46" s="2" t="str">
        <f t="shared" si="1"/>
        <v>PLACED</v>
      </c>
    </row>
    <row r="47">
      <c r="A47" s="1">
        <v>1027.0</v>
      </c>
      <c r="B47" s="1" t="s">
        <v>73</v>
      </c>
      <c r="C47" s="1" t="s">
        <v>25</v>
      </c>
      <c r="D47" s="1">
        <v>7.5</v>
      </c>
      <c r="E47" s="1" t="s">
        <v>35</v>
      </c>
      <c r="F47" s="1" t="s">
        <v>27</v>
      </c>
      <c r="G47" s="1" t="s">
        <v>61</v>
      </c>
      <c r="H47" s="1">
        <v>6.1</v>
      </c>
      <c r="I47" s="2" t="str">
        <f t="shared" si="1"/>
        <v>PLACED</v>
      </c>
    </row>
    <row r="48">
      <c r="A48" s="1">
        <v>1103.0</v>
      </c>
      <c r="B48" s="1" t="s">
        <v>74</v>
      </c>
      <c r="C48" s="1" t="s">
        <v>25</v>
      </c>
      <c r="D48" s="1">
        <v>9.0</v>
      </c>
      <c r="E48" s="1" t="s">
        <v>30</v>
      </c>
      <c r="F48" s="1" t="s">
        <v>27</v>
      </c>
      <c r="G48" s="1" t="s">
        <v>46</v>
      </c>
      <c r="H48" s="1">
        <v>30.0</v>
      </c>
      <c r="I48" s="2" t="str">
        <f t="shared" si="1"/>
        <v>PLACED</v>
      </c>
    </row>
    <row r="49">
      <c r="A49" s="1">
        <v>1112.0</v>
      </c>
      <c r="B49" s="1" t="s">
        <v>75</v>
      </c>
      <c r="C49" s="1" t="s">
        <v>25</v>
      </c>
      <c r="D49" s="1">
        <v>7.6</v>
      </c>
      <c r="E49" s="1" t="s">
        <v>26</v>
      </c>
      <c r="F49" s="1" t="s">
        <v>27</v>
      </c>
      <c r="G49" s="1" t="s">
        <v>44</v>
      </c>
      <c r="H49" s="1">
        <v>5.6</v>
      </c>
      <c r="I49" s="2" t="str">
        <f t="shared" si="1"/>
        <v>PLACED</v>
      </c>
    </row>
    <row r="50">
      <c r="A50" s="1">
        <v>1080.0</v>
      </c>
      <c r="B50" s="1" t="s">
        <v>76</v>
      </c>
      <c r="C50" s="1" t="s">
        <v>25</v>
      </c>
      <c r="D50" s="1">
        <v>8.9</v>
      </c>
      <c r="E50" s="1" t="s">
        <v>30</v>
      </c>
      <c r="F50" s="1" t="s">
        <v>27</v>
      </c>
      <c r="G50" s="1" t="s">
        <v>31</v>
      </c>
      <c r="H50" s="1">
        <v>23.0</v>
      </c>
      <c r="I50" s="2" t="str">
        <f t="shared" si="1"/>
        <v>PLACED</v>
      </c>
    </row>
    <row r="51">
      <c r="A51" s="1">
        <v>1012.0</v>
      </c>
      <c r="B51" s="1" t="s">
        <v>77</v>
      </c>
      <c r="C51" s="1" t="s">
        <v>78</v>
      </c>
      <c r="D51" s="1">
        <v>8.3</v>
      </c>
      <c r="E51" s="1" t="s">
        <v>79</v>
      </c>
      <c r="F51" s="1" t="s">
        <v>27</v>
      </c>
      <c r="G51" s="1" t="s">
        <v>61</v>
      </c>
      <c r="H51" s="1">
        <v>7.0</v>
      </c>
      <c r="I51" s="2" t="str">
        <f t="shared" si="1"/>
        <v>PLACED</v>
      </c>
    </row>
    <row r="52">
      <c r="A52" s="1">
        <v>1111.0</v>
      </c>
      <c r="B52" s="1" t="s">
        <v>80</v>
      </c>
      <c r="C52" s="1" t="s">
        <v>78</v>
      </c>
      <c r="D52" s="1">
        <v>8.1</v>
      </c>
      <c r="E52" s="1" t="s">
        <v>79</v>
      </c>
      <c r="F52" s="1" t="s">
        <v>27</v>
      </c>
      <c r="G52" s="1" t="s">
        <v>61</v>
      </c>
      <c r="H52" s="1">
        <v>7.2</v>
      </c>
      <c r="I52" s="2" t="str">
        <f t="shared" si="1"/>
        <v>PLACED</v>
      </c>
    </row>
    <row r="53">
      <c r="A53" s="1">
        <v>1041.0</v>
      </c>
      <c r="B53" s="1" t="s">
        <v>81</v>
      </c>
      <c r="C53" s="1" t="s">
        <v>78</v>
      </c>
      <c r="D53" s="1">
        <v>7.0</v>
      </c>
      <c r="E53" s="1" t="s">
        <v>79</v>
      </c>
      <c r="F53" s="1" t="s">
        <v>12</v>
      </c>
      <c r="G53" s="1" t="s">
        <v>13</v>
      </c>
      <c r="H53" s="1">
        <v>0.0</v>
      </c>
      <c r="I53" s="2" t="str">
        <f t="shared" si="1"/>
        <v>NOT_PLACED</v>
      </c>
    </row>
    <row r="54">
      <c r="A54" s="1">
        <v>1074.0</v>
      </c>
      <c r="B54" s="1" t="s">
        <v>82</v>
      </c>
      <c r="C54" s="1" t="s">
        <v>78</v>
      </c>
      <c r="D54" s="1">
        <v>8.3</v>
      </c>
      <c r="E54" s="1" t="s">
        <v>65</v>
      </c>
      <c r="F54" s="1" t="s">
        <v>27</v>
      </c>
      <c r="G54" s="1" t="s">
        <v>83</v>
      </c>
      <c r="H54" s="1">
        <v>9.6</v>
      </c>
      <c r="I54" s="2" t="str">
        <f t="shared" si="1"/>
        <v>PLACED</v>
      </c>
    </row>
    <row r="55">
      <c r="A55" s="1">
        <v>1068.0</v>
      </c>
      <c r="B55" s="1" t="s">
        <v>84</v>
      </c>
      <c r="C55" s="1" t="s">
        <v>78</v>
      </c>
      <c r="D55" s="1">
        <v>8.1</v>
      </c>
      <c r="E55" s="1" t="s">
        <v>79</v>
      </c>
      <c r="F55" s="1" t="s">
        <v>27</v>
      </c>
      <c r="G55" s="1" t="s">
        <v>61</v>
      </c>
      <c r="H55" s="1">
        <v>7.1</v>
      </c>
      <c r="I55" s="2" t="str">
        <f t="shared" si="1"/>
        <v>PLACED</v>
      </c>
    </row>
    <row r="56">
      <c r="A56" s="1">
        <v>1016.0</v>
      </c>
      <c r="B56" s="1" t="s">
        <v>85</v>
      </c>
      <c r="C56" s="1" t="s">
        <v>78</v>
      </c>
      <c r="D56" s="1">
        <v>8.1</v>
      </c>
      <c r="E56" s="1" t="s">
        <v>26</v>
      </c>
      <c r="F56" s="1" t="s">
        <v>27</v>
      </c>
      <c r="G56" s="1" t="s">
        <v>86</v>
      </c>
      <c r="H56" s="1">
        <v>6.4</v>
      </c>
      <c r="I56" s="2" t="str">
        <f t="shared" si="1"/>
        <v>PLACED</v>
      </c>
    </row>
    <row r="57">
      <c r="A57" s="1">
        <v>1038.0</v>
      </c>
      <c r="B57" s="1" t="s">
        <v>40</v>
      </c>
      <c r="C57" s="1" t="s">
        <v>78</v>
      </c>
      <c r="D57" s="1">
        <v>8.2</v>
      </c>
      <c r="E57" s="1" t="s">
        <v>65</v>
      </c>
      <c r="F57" s="1" t="s">
        <v>27</v>
      </c>
      <c r="G57" s="1" t="s">
        <v>83</v>
      </c>
      <c r="H57" s="1">
        <v>9.1</v>
      </c>
      <c r="I57" s="2" t="str">
        <f t="shared" si="1"/>
        <v>PLACED</v>
      </c>
    </row>
    <row r="58">
      <c r="A58" s="1">
        <v>1053.0</v>
      </c>
      <c r="B58" s="1" t="s">
        <v>87</v>
      </c>
      <c r="C58" s="1" t="s">
        <v>78</v>
      </c>
      <c r="D58" s="1">
        <v>7.5</v>
      </c>
      <c r="E58" s="1" t="s">
        <v>35</v>
      </c>
      <c r="F58" s="1" t="s">
        <v>27</v>
      </c>
      <c r="G58" s="1" t="s">
        <v>37</v>
      </c>
      <c r="H58" s="1">
        <v>5.8</v>
      </c>
      <c r="I58" s="2" t="str">
        <f t="shared" si="1"/>
        <v>PLACED</v>
      </c>
    </row>
    <row r="59">
      <c r="A59" s="1">
        <v>1029.0</v>
      </c>
      <c r="B59" s="1" t="s">
        <v>88</v>
      </c>
      <c r="C59" s="1" t="s">
        <v>78</v>
      </c>
      <c r="D59" s="1">
        <v>7.2</v>
      </c>
      <c r="E59" s="1" t="s">
        <v>52</v>
      </c>
      <c r="F59" s="1" t="s">
        <v>12</v>
      </c>
      <c r="G59" s="1" t="s">
        <v>28</v>
      </c>
      <c r="H59" s="1">
        <v>4.3</v>
      </c>
      <c r="I59" s="2" t="str">
        <f t="shared" si="1"/>
        <v>PLACED</v>
      </c>
    </row>
    <row r="60">
      <c r="A60" s="1">
        <v>1002.0</v>
      </c>
      <c r="B60" s="1" t="s">
        <v>89</v>
      </c>
      <c r="C60" s="1" t="s">
        <v>78</v>
      </c>
      <c r="D60" s="1">
        <v>7.9</v>
      </c>
      <c r="E60" s="1" t="s">
        <v>52</v>
      </c>
      <c r="F60" s="1" t="s">
        <v>27</v>
      </c>
      <c r="G60" s="1" t="s">
        <v>37</v>
      </c>
      <c r="H60" s="1">
        <v>5.5</v>
      </c>
      <c r="I60" s="2" t="str">
        <f t="shared" si="1"/>
        <v>PLACED</v>
      </c>
    </row>
    <row r="61">
      <c r="A61" s="1">
        <v>1083.0</v>
      </c>
      <c r="B61" s="1" t="s">
        <v>90</v>
      </c>
      <c r="C61" s="1" t="s">
        <v>78</v>
      </c>
      <c r="D61" s="1">
        <v>8.0</v>
      </c>
      <c r="E61" s="1" t="s">
        <v>65</v>
      </c>
      <c r="F61" s="1" t="s">
        <v>27</v>
      </c>
      <c r="G61" s="1" t="s">
        <v>83</v>
      </c>
      <c r="H61" s="1">
        <v>9.2</v>
      </c>
      <c r="I61" s="2" t="str">
        <f t="shared" si="1"/>
        <v>PLACED</v>
      </c>
    </row>
    <row r="62">
      <c r="A62" s="1">
        <v>1022.0</v>
      </c>
      <c r="B62" s="1" t="s">
        <v>91</v>
      </c>
      <c r="C62" s="1" t="s">
        <v>78</v>
      </c>
      <c r="D62" s="1">
        <v>7.7</v>
      </c>
      <c r="E62" s="1" t="s">
        <v>79</v>
      </c>
      <c r="F62" s="1" t="s">
        <v>27</v>
      </c>
      <c r="G62" s="1" t="s">
        <v>37</v>
      </c>
      <c r="H62" s="1">
        <v>5.9</v>
      </c>
      <c r="I62" s="2" t="str">
        <f t="shared" si="1"/>
        <v>PLACED</v>
      </c>
    </row>
    <row r="63">
      <c r="A63" s="1">
        <v>1119.0</v>
      </c>
      <c r="B63" s="1" t="s">
        <v>92</v>
      </c>
      <c r="C63" s="1" t="s">
        <v>78</v>
      </c>
      <c r="D63" s="1">
        <v>8.5</v>
      </c>
      <c r="E63" s="1" t="s">
        <v>65</v>
      </c>
      <c r="F63" s="1" t="s">
        <v>27</v>
      </c>
      <c r="G63" s="1" t="s">
        <v>83</v>
      </c>
      <c r="H63" s="1">
        <v>9.5</v>
      </c>
      <c r="I63" s="2" t="str">
        <f t="shared" si="1"/>
        <v>PLACED</v>
      </c>
    </row>
    <row r="64">
      <c r="A64" s="1">
        <v>1034.0</v>
      </c>
      <c r="B64" s="1" t="s">
        <v>93</v>
      </c>
      <c r="C64" s="1" t="s">
        <v>78</v>
      </c>
      <c r="D64" s="1">
        <v>8.5</v>
      </c>
      <c r="E64" s="1" t="s">
        <v>79</v>
      </c>
      <c r="F64" s="1" t="s">
        <v>27</v>
      </c>
      <c r="G64" s="1" t="s">
        <v>37</v>
      </c>
      <c r="H64" s="1">
        <v>6.6</v>
      </c>
      <c r="I64" s="2" t="str">
        <f t="shared" si="1"/>
        <v>PLACED</v>
      </c>
    </row>
    <row r="65">
      <c r="A65" s="1">
        <v>1061.0</v>
      </c>
      <c r="B65" s="1" t="s">
        <v>94</v>
      </c>
      <c r="C65" s="1" t="s">
        <v>78</v>
      </c>
      <c r="D65" s="1">
        <v>7.3</v>
      </c>
      <c r="E65" s="1" t="s">
        <v>79</v>
      </c>
      <c r="F65" s="1" t="s">
        <v>12</v>
      </c>
      <c r="G65" s="1" t="s">
        <v>44</v>
      </c>
      <c r="H65" s="1">
        <v>4.7</v>
      </c>
      <c r="I65" s="2" t="str">
        <f t="shared" si="1"/>
        <v>PLACED</v>
      </c>
    </row>
    <row r="66">
      <c r="A66" s="1">
        <v>1009.0</v>
      </c>
      <c r="B66" s="1" t="s">
        <v>95</v>
      </c>
      <c r="C66" s="1" t="s">
        <v>78</v>
      </c>
      <c r="D66" s="1">
        <v>7.1</v>
      </c>
      <c r="E66" s="1" t="s">
        <v>26</v>
      </c>
      <c r="F66" s="1" t="s">
        <v>12</v>
      </c>
      <c r="G66" s="1" t="s">
        <v>28</v>
      </c>
      <c r="H66" s="1">
        <v>4.5</v>
      </c>
      <c r="I66" s="2" t="str">
        <f t="shared" si="1"/>
        <v>PLACED</v>
      </c>
    </row>
    <row r="67">
      <c r="A67" s="1">
        <v>1064.0</v>
      </c>
      <c r="B67" s="1" t="s">
        <v>96</v>
      </c>
      <c r="C67" s="1" t="s">
        <v>78</v>
      </c>
      <c r="D67" s="1">
        <v>8.2</v>
      </c>
      <c r="E67" s="1" t="s">
        <v>65</v>
      </c>
      <c r="F67" s="1" t="s">
        <v>27</v>
      </c>
      <c r="G67" s="1" t="s">
        <v>83</v>
      </c>
      <c r="H67" s="1">
        <v>9.4</v>
      </c>
      <c r="I67" s="2" t="str">
        <f t="shared" si="1"/>
        <v>PLACED</v>
      </c>
    </row>
    <row r="68">
      <c r="A68" s="1">
        <v>1087.0</v>
      </c>
      <c r="B68" s="1" t="s">
        <v>97</v>
      </c>
      <c r="C68" s="1" t="s">
        <v>78</v>
      </c>
      <c r="D68" s="1">
        <v>8.2</v>
      </c>
      <c r="E68" s="1" t="s">
        <v>79</v>
      </c>
      <c r="F68" s="1" t="s">
        <v>27</v>
      </c>
      <c r="G68" s="1" t="s">
        <v>61</v>
      </c>
      <c r="H68" s="1">
        <v>7.0</v>
      </c>
      <c r="I68" s="2" t="str">
        <f t="shared" si="1"/>
        <v>PLACED</v>
      </c>
    </row>
    <row r="69">
      <c r="A69" s="1">
        <v>1078.0</v>
      </c>
      <c r="B69" s="1" t="s">
        <v>98</v>
      </c>
      <c r="C69" s="1" t="s">
        <v>78</v>
      </c>
      <c r="D69" s="1">
        <v>8.4</v>
      </c>
      <c r="E69" s="1" t="s">
        <v>79</v>
      </c>
      <c r="F69" s="1" t="s">
        <v>27</v>
      </c>
      <c r="G69" s="1" t="s">
        <v>28</v>
      </c>
      <c r="H69" s="1">
        <v>6.9</v>
      </c>
      <c r="I69" s="2" t="str">
        <f t="shared" si="1"/>
        <v>PLACED</v>
      </c>
    </row>
    <row r="70">
      <c r="A70" s="1">
        <v>1026.0</v>
      </c>
      <c r="B70" s="1" t="s">
        <v>99</v>
      </c>
      <c r="C70" s="1" t="s">
        <v>78</v>
      </c>
      <c r="D70" s="1">
        <v>8.4</v>
      </c>
      <c r="E70" s="1" t="s">
        <v>65</v>
      </c>
      <c r="F70" s="1" t="s">
        <v>27</v>
      </c>
      <c r="G70" s="1" t="s">
        <v>83</v>
      </c>
      <c r="H70" s="1">
        <v>9.8</v>
      </c>
      <c r="I70" s="2" t="str">
        <f t="shared" si="1"/>
        <v>PLACED</v>
      </c>
    </row>
    <row r="71">
      <c r="A71" s="1">
        <v>1046.0</v>
      </c>
      <c r="B71" s="1" t="s">
        <v>100</v>
      </c>
      <c r="C71" s="1" t="s">
        <v>78</v>
      </c>
      <c r="D71" s="1">
        <v>8.3</v>
      </c>
      <c r="E71" s="1" t="s">
        <v>65</v>
      </c>
      <c r="F71" s="1" t="s">
        <v>27</v>
      </c>
      <c r="G71" s="1" t="s">
        <v>61</v>
      </c>
      <c r="H71" s="1">
        <v>7.2</v>
      </c>
      <c r="I71" s="2" t="str">
        <f t="shared" si="1"/>
        <v>PLACED</v>
      </c>
    </row>
    <row r="72">
      <c r="A72" s="1">
        <v>1114.0</v>
      </c>
      <c r="B72" s="1" t="s">
        <v>101</v>
      </c>
      <c r="C72" s="1" t="s">
        <v>78</v>
      </c>
      <c r="D72" s="1">
        <v>7.2</v>
      </c>
      <c r="E72" s="1" t="s">
        <v>35</v>
      </c>
      <c r="F72" s="1" t="s">
        <v>12</v>
      </c>
      <c r="G72" s="1" t="s">
        <v>13</v>
      </c>
      <c r="H72" s="1">
        <v>0.0</v>
      </c>
      <c r="I72" s="2" t="str">
        <f t="shared" si="1"/>
        <v>NOT_PLACED</v>
      </c>
    </row>
    <row r="73">
      <c r="A73" s="1">
        <v>1102.0</v>
      </c>
      <c r="B73" s="1" t="s">
        <v>102</v>
      </c>
      <c r="C73" s="1" t="s">
        <v>78</v>
      </c>
      <c r="D73" s="1">
        <v>7.1</v>
      </c>
      <c r="E73" s="1" t="s">
        <v>79</v>
      </c>
      <c r="F73" s="1" t="s">
        <v>12</v>
      </c>
      <c r="G73" s="1" t="s">
        <v>13</v>
      </c>
      <c r="H73" s="1">
        <v>0.0</v>
      </c>
      <c r="I73" s="2" t="str">
        <f t="shared" si="1"/>
        <v>NOT_PLACED</v>
      </c>
    </row>
    <row r="74">
      <c r="A74" s="1">
        <v>1050.0</v>
      </c>
      <c r="B74" s="1" t="s">
        <v>103</v>
      </c>
      <c r="C74" s="1" t="s">
        <v>78</v>
      </c>
      <c r="D74" s="1">
        <v>8.1</v>
      </c>
      <c r="E74" s="1" t="s">
        <v>79</v>
      </c>
      <c r="F74" s="1" t="s">
        <v>27</v>
      </c>
      <c r="G74" s="1" t="s">
        <v>44</v>
      </c>
      <c r="H74" s="1">
        <v>5.9</v>
      </c>
      <c r="I74" s="2" t="str">
        <f t="shared" si="1"/>
        <v>PLACED</v>
      </c>
    </row>
    <row r="75">
      <c r="A75" s="1">
        <v>1091.0</v>
      </c>
      <c r="B75" s="1" t="s">
        <v>104</v>
      </c>
      <c r="C75" s="1" t="s">
        <v>78</v>
      </c>
      <c r="D75" s="1">
        <v>8.5</v>
      </c>
      <c r="E75" s="1" t="s">
        <v>65</v>
      </c>
      <c r="F75" s="1" t="s">
        <v>27</v>
      </c>
      <c r="G75" s="1" t="s">
        <v>83</v>
      </c>
      <c r="H75" s="1">
        <v>9.7</v>
      </c>
      <c r="I75" s="2" t="str">
        <f t="shared" si="1"/>
        <v>PLACED</v>
      </c>
    </row>
    <row r="76">
      <c r="A76" s="1">
        <v>1006.0</v>
      </c>
      <c r="B76" s="1" t="s">
        <v>105</v>
      </c>
      <c r="C76" s="1" t="s">
        <v>78</v>
      </c>
      <c r="D76" s="1">
        <v>8.0</v>
      </c>
      <c r="E76" s="1" t="s">
        <v>65</v>
      </c>
      <c r="F76" s="1" t="s">
        <v>27</v>
      </c>
      <c r="G76" s="1" t="s">
        <v>44</v>
      </c>
      <c r="H76" s="1">
        <v>6.1</v>
      </c>
      <c r="I76" s="2" t="str">
        <f t="shared" si="1"/>
        <v>PLACED</v>
      </c>
    </row>
    <row r="77">
      <c r="A77" s="1">
        <v>1099.0</v>
      </c>
      <c r="B77" s="1" t="s">
        <v>106</v>
      </c>
      <c r="C77" s="1" t="s">
        <v>78</v>
      </c>
      <c r="D77" s="1">
        <v>8.3</v>
      </c>
      <c r="E77" s="1" t="s">
        <v>65</v>
      </c>
      <c r="F77" s="1" t="s">
        <v>27</v>
      </c>
      <c r="G77" s="1" t="s">
        <v>83</v>
      </c>
      <c r="H77" s="1">
        <v>9.3</v>
      </c>
      <c r="I77" s="2" t="str">
        <f t="shared" si="1"/>
        <v>PLACED</v>
      </c>
    </row>
    <row r="78">
      <c r="A78" s="1">
        <v>1058.0</v>
      </c>
      <c r="B78" s="1" t="s">
        <v>107</v>
      </c>
      <c r="C78" s="1" t="s">
        <v>78</v>
      </c>
      <c r="D78" s="1">
        <v>8.0</v>
      </c>
      <c r="E78" s="1" t="s">
        <v>65</v>
      </c>
      <c r="F78" s="1" t="s">
        <v>27</v>
      </c>
      <c r="G78" s="1" t="s">
        <v>28</v>
      </c>
      <c r="H78" s="1">
        <v>6.8</v>
      </c>
      <c r="I78" s="2" t="str">
        <f t="shared" si="1"/>
        <v>PLACED</v>
      </c>
    </row>
    <row r="79">
      <c r="A79" s="1">
        <v>1071.0</v>
      </c>
      <c r="B79" s="1" t="s">
        <v>108</v>
      </c>
      <c r="C79" s="1" t="s">
        <v>78</v>
      </c>
      <c r="D79" s="1">
        <v>7.2</v>
      </c>
      <c r="E79" s="1" t="s">
        <v>35</v>
      </c>
      <c r="F79" s="1" t="s">
        <v>12</v>
      </c>
      <c r="G79" s="1" t="s">
        <v>13</v>
      </c>
      <c r="H79" s="1">
        <v>0.0</v>
      </c>
      <c r="I79" s="2" t="str">
        <f t="shared" si="1"/>
        <v>NOT_PLACED</v>
      </c>
    </row>
    <row r="80">
      <c r="A80" s="1">
        <v>1107.0</v>
      </c>
      <c r="B80" s="1" t="s">
        <v>109</v>
      </c>
      <c r="C80" s="1" t="s">
        <v>78</v>
      </c>
      <c r="D80" s="1">
        <v>8.4</v>
      </c>
      <c r="E80" s="1" t="s">
        <v>65</v>
      </c>
      <c r="F80" s="1" t="s">
        <v>27</v>
      </c>
      <c r="G80" s="1" t="s">
        <v>83</v>
      </c>
      <c r="H80" s="1">
        <v>9.8</v>
      </c>
      <c r="I80" s="2" t="str">
        <f t="shared" si="1"/>
        <v>PLACED</v>
      </c>
    </row>
    <row r="81">
      <c r="A81" s="1">
        <v>1095.0</v>
      </c>
      <c r="B81" s="1" t="s">
        <v>110</v>
      </c>
      <c r="C81" s="1" t="s">
        <v>78</v>
      </c>
      <c r="D81" s="1">
        <v>8.1</v>
      </c>
      <c r="E81" s="1" t="s">
        <v>79</v>
      </c>
      <c r="F81" s="1" t="s">
        <v>27</v>
      </c>
      <c r="G81" s="1" t="s">
        <v>28</v>
      </c>
      <c r="H81" s="1">
        <v>6.6</v>
      </c>
      <c r="I81" s="2" t="str">
        <f t="shared" si="1"/>
        <v>PLACED</v>
      </c>
    </row>
    <row r="82">
      <c r="A82" s="1">
        <v>1019.0</v>
      </c>
      <c r="B82" s="1" t="s">
        <v>111</v>
      </c>
      <c r="C82" s="1" t="s">
        <v>78</v>
      </c>
      <c r="D82" s="1">
        <v>7.4</v>
      </c>
      <c r="E82" s="1" t="s">
        <v>35</v>
      </c>
      <c r="F82" s="1" t="s">
        <v>12</v>
      </c>
      <c r="G82" s="1" t="s">
        <v>44</v>
      </c>
      <c r="H82" s="1">
        <v>4.8</v>
      </c>
      <c r="I82" s="2" t="str">
        <f t="shared" si="1"/>
        <v>PLACED</v>
      </c>
    </row>
    <row r="83">
      <c r="A83" s="1">
        <v>1092.0</v>
      </c>
      <c r="B83" s="1" t="s">
        <v>112</v>
      </c>
      <c r="C83" s="1" t="s">
        <v>113</v>
      </c>
      <c r="D83" s="1">
        <v>6.5</v>
      </c>
      <c r="E83" s="1" t="s">
        <v>114</v>
      </c>
      <c r="F83" s="1" t="s">
        <v>12</v>
      </c>
      <c r="G83" s="1" t="s">
        <v>13</v>
      </c>
      <c r="H83" s="1">
        <v>0.0</v>
      </c>
      <c r="I83" s="2" t="str">
        <f t="shared" si="1"/>
        <v>NOT_PLACED</v>
      </c>
    </row>
    <row r="84">
      <c r="A84" s="1">
        <v>1116.0</v>
      </c>
      <c r="B84" s="1" t="s">
        <v>115</v>
      </c>
      <c r="C84" s="1" t="s">
        <v>113</v>
      </c>
      <c r="D84" s="1">
        <v>6.7</v>
      </c>
      <c r="E84" s="1" t="s">
        <v>114</v>
      </c>
      <c r="F84" s="1" t="s">
        <v>12</v>
      </c>
      <c r="G84" s="1" t="s">
        <v>13</v>
      </c>
      <c r="H84" s="1">
        <v>0.0</v>
      </c>
      <c r="I84" s="2" t="str">
        <f t="shared" si="1"/>
        <v>NOT_PLACED</v>
      </c>
    </row>
    <row r="85">
      <c r="A85" s="1">
        <v>1043.0</v>
      </c>
      <c r="B85" s="1" t="s">
        <v>116</v>
      </c>
      <c r="C85" s="1" t="s">
        <v>113</v>
      </c>
      <c r="D85" s="1">
        <v>6.9</v>
      </c>
      <c r="E85" s="1" t="s">
        <v>114</v>
      </c>
      <c r="F85" s="1" t="s">
        <v>12</v>
      </c>
      <c r="G85" s="1" t="s">
        <v>13</v>
      </c>
      <c r="H85" s="1">
        <v>0.0</v>
      </c>
      <c r="I85" s="2" t="str">
        <f t="shared" si="1"/>
        <v>NOT_PLACED</v>
      </c>
    </row>
    <row r="86">
      <c r="A86" s="1">
        <v>1104.0</v>
      </c>
      <c r="B86" s="1" t="s">
        <v>117</v>
      </c>
      <c r="C86" s="1" t="s">
        <v>113</v>
      </c>
      <c r="D86" s="1">
        <v>6.8</v>
      </c>
      <c r="E86" s="1" t="s">
        <v>114</v>
      </c>
      <c r="F86" s="1" t="s">
        <v>12</v>
      </c>
      <c r="G86" s="1" t="s">
        <v>13</v>
      </c>
      <c r="H86" s="1">
        <v>0.0</v>
      </c>
      <c r="I86" s="2" t="str">
        <f t="shared" si="1"/>
        <v>NOT_PLACED</v>
      </c>
    </row>
    <row r="87">
      <c r="A87" s="1">
        <v>1075.0</v>
      </c>
      <c r="B87" s="1" t="s">
        <v>118</v>
      </c>
      <c r="C87" s="1" t="s">
        <v>113</v>
      </c>
      <c r="D87" s="1">
        <v>6.9</v>
      </c>
      <c r="E87" s="1" t="s">
        <v>114</v>
      </c>
      <c r="F87" s="1" t="s">
        <v>12</v>
      </c>
      <c r="G87" s="1" t="s">
        <v>13</v>
      </c>
      <c r="H87" s="1">
        <v>0.0</v>
      </c>
      <c r="I87" s="2" t="str">
        <f t="shared" si="1"/>
        <v>NOT_PLACED</v>
      </c>
    </row>
    <row r="88">
      <c r="A88" s="1">
        <v>1023.0</v>
      </c>
      <c r="B88" s="1" t="s">
        <v>119</v>
      </c>
      <c r="C88" s="1" t="s">
        <v>113</v>
      </c>
      <c r="D88" s="1">
        <v>6.4</v>
      </c>
      <c r="E88" s="1" t="s">
        <v>114</v>
      </c>
      <c r="F88" s="1" t="s">
        <v>12</v>
      </c>
      <c r="G88" s="1" t="s">
        <v>13</v>
      </c>
      <c r="H88" s="1">
        <v>0.0</v>
      </c>
      <c r="I88" s="2" t="str">
        <f t="shared" si="1"/>
        <v>NOT_PLACED</v>
      </c>
    </row>
    <row r="89">
      <c r="A89" s="1">
        <v>1013.0</v>
      </c>
      <c r="B89" s="1" t="s">
        <v>101</v>
      </c>
      <c r="C89" s="1" t="s">
        <v>113</v>
      </c>
      <c r="D89" s="1">
        <v>6.5</v>
      </c>
      <c r="E89" s="1" t="s">
        <v>114</v>
      </c>
      <c r="F89" s="1" t="s">
        <v>12</v>
      </c>
      <c r="G89" s="1" t="s">
        <v>13</v>
      </c>
      <c r="H89" s="1">
        <v>0.0</v>
      </c>
      <c r="I89" s="2" t="str">
        <f t="shared" si="1"/>
        <v>NOT_PLACED</v>
      </c>
    </row>
    <row r="90">
      <c r="A90" s="1">
        <v>1084.0</v>
      </c>
      <c r="B90" s="1" t="s">
        <v>120</v>
      </c>
      <c r="C90" s="1" t="s">
        <v>113</v>
      </c>
      <c r="D90" s="1">
        <v>6.4</v>
      </c>
      <c r="E90" s="1" t="s">
        <v>114</v>
      </c>
      <c r="F90" s="1" t="s">
        <v>12</v>
      </c>
      <c r="G90" s="1" t="s">
        <v>13</v>
      </c>
      <c r="H90" s="1">
        <v>0.0</v>
      </c>
      <c r="I90" s="2" t="str">
        <f t="shared" si="1"/>
        <v>NOT_PLACED</v>
      </c>
    </row>
    <row r="91">
      <c r="A91" s="1">
        <v>1065.0</v>
      </c>
      <c r="B91" s="1" t="s">
        <v>121</v>
      </c>
      <c r="C91" s="1" t="s">
        <v>113</v>
      </c>
      <c r="D91" s="1">
        <v>6.6</v>
      </c>
      <c r="E91" s="1" t="s">
        <v>114</v>
      </c>
      <c r="F91" s="1" t="s">
        <v>12</v>
      </c>
      <c r="G91" s="1" t="s">
        <v>13</v>
      </c>
      <c r="H91" s="1">
        <v>0.0</v>
      </c>
      <c r="I91" s="2" t="str">
        <f t="shared" si="1"/>
        <v>NOT_PLACED</v>
      </c>
    </row>
    <row r="92">
      <c r="A92" s="1">
        <v>1031.0</v>
      </c>
      <c r="B92" s="1" t="s">
        <v>122</v>
      </c>
      <c r="C92" s="1" t="s">
        <v>113</v>
      </c>
      <c r="D92" s="1">
        <v>6.8</v>
      </c>
      <c r="E92" s="1" t="s">
        <v>114</v>
      </c>
      <c r="F92" s="1" t="s">
        <v>12</v>
      </c>
      <c r="G92" s="1" t="s">
        <v>13</v>
      </c>
      <c r="H92" s="1">
        <v>0.0</v>
      </c>
      <c r="I92" s="2" t="str">
        <f t="shared" si="1"/>
        <v>NOT_PLACED</v>
      </c>
    </row>
    <row r="93">
      <c r="A93" s="1">
        <v>1003.0</v>
      </c>
      <c r="B93" s="1" t="s">
        <v>123</v>
      </c>
      <c r="C93" s="1" t="s">
        <v>113</v>
      </c>
      <c r="D93" s="1">
        <v>6.8</v>
      </c>
      <c r="E93" s="1" t="s">
        <v>35</v>
      </c>
      <c r="F93" s="1" t="s">
        <v>12</v>
      </c>
      <c r="G93" s="1" t="s">
        <v>13</v>
      </c>
      <c r="H93" s="1">
        <v>0.0</v>
      </c>
      <c r="I93" s="2" t="str">
        <f t="shared" si="1"/>
        <v>NOT_PLACED</v>
      </c>
    </row>
    <row r="94">
      <c r="A94" s="1">
        <v>1055.0</v>
      </c>
      <c r="B94" s="1" t="s">
        <v>124</v>
      </c>
      <c r="C94" s="1" t="s">
        <v>113</v>
      </c>
      <c r="D94" s="1">
        <v>6.7</v>
      </c>
      <c r="E94" s="1" t="s">
        <v>114</v>
      </c>
      <c r="F94" s="1" t="s">
        <v>12</v>
      </c>
      <c r="G94" s="1" t="s">
        <v>13</v>
      </c>
      <c r="H94" s="1">
        <v>0.0</v>
      </c>
      <c r="I94" s="2" t="str">
        <f t="shared" si="1"/>
        <v>NOT_PLACED</v>
      </c>
    </row>
    <row r="95">
      <c r="A95" s="1">
        <v>1032.0</v>
      </c>
      <c r="B95" s="1" t="s">
        <v>125</v>
      </c>
      <c r="C95" s="1" t="s">
        <v>126</v>
      </c>
      <c r="D95" s="1">
        <v>8.1</v>
      </c>
      <c r="E95" s="1" t="s">
        <v>127</v>
      </c>
      <c r="F95" s="1" t="s">
        <v>27</v>
      </c>
      <c r="G95" s="1" t="s">
        <v>128</v>
      </c>
      <c r="H95" s="1">
        <v>8.5</v>
      </c>
      <c r="I95" s="2" t="str">
        <f t="shared" si="1"/>
        <v>PLACED</v>
      </c>
    </row>
    <row r="96">
      <c r="A96" s="1">
        <v>1062.0</v>
      </c>
      <c r="B96" s="1" t="s">
        <v>129</v>
      </c>
      <c r="C96" s="1" t="s">
        <v>126</v>
      </c>
      <c r="D96" s="1">
        <v>8.5</v>
      </c>
      <c r="E96" s="1" t="s">
        <v>26</v>
      </c>
      <c r="F96" s="1" t="s">
        <v>27</v>
      </c>
      <c r="G96" s="1" t="s">
        <v>54</v>
      </c>
      <c r="H96" s="1">
        <v>8.7</v>
      </c>
      <c r="I96" s="2" t="str">
        <f t="shared" si="1"/>
        <v>PLACED</v>
      </c>
    </row>
    <row r="97">
      <c r="A97" s="1">
        <v>1117.0</v>
      </c>
      <c r="B97" s="1" t="s">
        <v>130</v>
      </c>
      <c r="C97" s="1" t="s">
        <v>126</v>
      </c>
      <c r="D97" s="1">
        <v>8.3</v>
      </c>
      <c r="E97" s="1" t="s">
        <v>26</v>
      </c>
      <c r="F97" s="1" t="s">
        <v>27</v>
      </c>
      <c r="G97" s="1" t="s">
        <v>54</v>
      </c>
      <c r="H97" s="1">
        <v>8.9</v>
      </c>
      <c r="I97" s="2" t="str">
        <f t="shared" si="1"/>
        <v>PLACED</v>
      </c>
    </row>
    <row r="98">
      <c r="A98" s="1">
        <v>1077.0</v>
      </c>
      <c r="B98" s="1" t="s">
        <v>131</v>
      </c>
      <c r="C98" s="1" t="s">
        <v>126</v>
      </c>
      <c r="D98" s="1">
        <v>7.5</v>
      </c>
      <c r="E98" s="1" t="s">
        <v>26</v>
      </c>
      <c r="F98" s="1" t="s">
        <v>27</v>
      </c>
      <c r="G98" s="1" t="s">
        <v>37</v>
      </c>
      <c r="H98" s="1">
        <v>6.0</v>
      </c>
      <c r="I98" s="2" t="str">
        <f t="shared" si="1"/>
        <v>PLACED</v>
      </c>
    </row>
    <row r="99">
      <c r="A99" s="1">
        <v>1081.0</v>
      </c>
      <c r="B99" s="1" t="s">
        <v>132</v>
      </c>
      <c r="C99" s="1" t="s">
        <v>126</v>
      </c>
      <c r="D99" s="1">
        <v>8.1</v>
      </c>
      <c r="E99" s="1" t="s">
        <v>127</v>
      </c>
      <c r="F99" s="1" t="s">
        <v>27</v>
      </c>
      <c r="G99" s="1" t="s">
        <v>128</v>
      </c>
      <c r="H99" s="1">
        <v>8.3</v>
      </c>
      <c r="I99" s="2" t="str">
        <f t="shared" si="1"/>
        <v>PLACED</v>
      </c>
    </row>
    <row r="100">
      <c r="A100" s="1">
        <v>1020.0</v>
      </c>
      <c r="B100" s="1" t="s">
        <v>133</v>
      </c>
      <c r="C100" s="1" t="s">
        <v>126</v>
      </c>
      <c r="D100" s="1">
        <v>8.6</v>
      </c>
      <c r="E100" s="1" t="s">
        <v>26</v>
      </c>
      <c r="F100" s="1" t="s">
        <v>27</v>
      </c>
      <c r="G100" s="1" t="s">
        <v>128</v>
      </c>
      <c r="H100" s="1">
        <v>9.2</v>
      </c>
      <c r="I100" s="2" t="str">
        <f t="shared" si="1"/>
        <v>PLACED</v>
      </c>
    </row>
    <row r="101">
      <c r="A101" s="1">
        <v>1094.0</v>
      </c>
      <c r="B101" s="1" t="s">
        <v>134</v>
      </c>
      <c r="C101" s="1" t="s">
        <v>126</v>
      </c>
      <c r="D101" s="1">
        <v>7.9</v>
      </c>
      <c r="E101" s="1" t="s">
        <v>35</v>
      </c>
      <c r="F101" s="1" t="s">
        <v>27</v>
      </c>
      <c r="G101" s="1" t="s">
        <v>44</v>
      </c>
      <c r="H101" s="1">
        <v>5.9</v>
      </c>
      <c r="I101" s="2" t="str">
        <f t="shared" si="1"/>
        <v>PLACED</v>
      </c>
    </row>
    <row r="102">
      <c r="A102" s="1">
        <v>1015.0</v>
      </c>
      <c r="B102" s="1" t="s">
        <v>135</v>
      </c>
      <c r="C102" s="1" t="s">
        <v>126</v>
      </c>
      <c r="D102" s="1">
        <v>7.6</v>
      </c>
      <c r="E102" s="1" t="s">
        <v>52</v>
      </c>
      <c r="F102" s="1" t="s">
        <v>27</v>
      </c>
      <c r="G102" s="1" t="s">
        <v>136</v>
      </c>
      <c r="H102" s="1">
        <v>5.8</v>
      </c>
      <c r="I102" s="2" t="str">
        <f t="shared" si="1"/>
        <v>PLACED</v>
      </c>
    </row>
    <row r="103">
      <c r="A103" s="1">
        <v>1040.0</v>
      </c>
      <c r="B103" s="1" t="s">
        <v>137</v>
      </c>
      <c r="C103" s="1" t="s">
        <v>126</v>
      </c>
      <c r="D103" s="1">
        <v>8.8</v>
      </c>
      <c r="E103" s="1" t="s">
        <v>30</v>
      </c>
      <c r="F103" s="1" t="s">
        <v>27</v>
      </c>
      <c r="G103" s="1" t="s">
        <v>33</v>
      </c>
      <c r="H103" s="1">
        <v>23.0</v>
      </c>
      <c r="I103" s="2" t="str">
        <f t="shared" si="1"/>
        <v>PLACED</v>
      </c>
    </row>
    <row r="104">
      <c r="A104" s="1">
        <v>1010.0</v>
      </c>
      <c r="B104" s="1" t="s">
        <v>48</v>
      </c>
      <c r="C104" s="1" t="s">
        <v>126</v>
      </c>
      <c r="D104" s="1">
        <v>8.9</v>
      </c>
      <c r="E104" s="1" t="s">
        <v>127</v>
      </c>
      <c r="F104" s="1" t="s">
        <v>27</v>
      </c>
      <c r="G104" s="1" t="s">
        <v>83</v>
      </c>
      <c r="H104" s="1">
        <v>10.5</v>
      </c>
      <c r="I104" s="2" t="str">
        <f t="shared" si="1"/>
        <v>PLACED</v>
      </c>
    </row>
    <row r="105">
      <c r="A105" s="1">
        <v>1049.0</v>
      </c>
      <c r="B105" s="1" t="s">
        <v>138</v>
      </c>
      <c r="C105" s="1" t="s">
        <v>126</v>
      </c>
      <c r="D105" s="1">
        <v>7.7</v>
      </c>
      <c r="E105" s="1" t="s">
        <v>26</v>
      </c>
      <c r="F105" s="1" t="s">
        <v>27</v>
      </c>
      <c r="G105" s="1" t="s">
        <v>28</v>
      </c>
      <c r="H105" s="1">
        <v>6.5</v>
      </c>
      <c r="I105" s="2" t="str">
        <f t="shared" si="1"/>
        <v>PLACED</v>
      </c>
    </row>
    <row r="106">
      <c r="A106" s="1">
        <v>1037.0</v>
      </c>
      <c r="B106" s="1" t="s">
        <v>139</v>
      </c>
      <c r="C106" s="1" t="s">
        <v>126</v>
      </c>
      <c r="D106" s="1">
        <v>7.4</v>
      </c>
      <c r="E106" s="1" t="s">
        <v>35</v>
      </c>
      <c r="F106" s="1" t="s">
        <v>27</v>
      </c>
      <c r="G106" s="1" t="s">
        <v>136</v>
      </c>
      <c r="H106" s="1">
        <v>5.6</v>
      </c>
      <c r="I106" s="2" t="str">
        <f t="shared" si="1"/>
        <v>PLACED</v>
      </c>
    </row>
    <row r="107">
      <c r="A107" s="1">
        <v>1072.0</v>
      </c>
      <c r="B107" s="1" t="s">
        <v>140</v>
      </c>
      <c r="C107" s="1" t="s">
        <v>126</v>
      </c>
      <c r="D107" s="1">
        <v>8.6</v>
      </c>
      <c r="E107" s="1" t="s">
        <v>127</v>
      </c>
      <c r="F107" s="1" t="s">
        <v>27</v>
      </c>
      <c r="G107" s="1" t="s">
        <v>128</v>
      </c>
      <c r="H107" s="1">
        <v>8.8</v>
      </c>
      <c r="I107" s="2" t="str">
        <f t="shared" si="1"/>
        <v>PLACED</v>
      </c>
    </row>
    <row r="108">
      <c r="A108" s="1">
        <v>1110.0</v>
      </c>
      <c r="B108" s="1" t="s">
        <v>141</v>
      </c>
      <c r="C108" s="1" t="s">
        <v>126</v>
      </c>
      <c r="D108" s="1">
        <v>7.5</v>
      </c>
      <c r="E108" s="1" t="s">
        <v>52</v>
      </c>
      <c r="F108" s="1" t="s">
        <v>27</v>
      </c>
      <c r="G108" s="1" t="s">
        <v>37</v>
      </c>
      <c r="H108" s="1">
        <v>5.7</v>
      </c>
      <c r="I108" s="2" t="str">
        <f t="shared" si="1"/>
        <v>PLACED</v>
      </c>
    </row>
    <row r="109">
      <c r="A109" s="1">
        <v>1056.0</v>
      </c>
      <c r="B109" s="1" t="s">
        <v>142</v>
      </c>
      <c r="C109" s="1" t="s">
        <v>126</v>
      </c>
      <c r="D109" s="1">
        <v>8.4</v>
      </c>
      <c r="E109" s="1" t="s">
        <v>26</v>
      </c>
      <c r="F109" s="1" t="s">
        <v>27</v>
      </c>
      <c r="G109" s="1" t="s">
        <v>128</v>
      </c>
      <c r="H109" s="1">
        <v>9.0</v>
      </c>
      <c r="I109" s="2" t="str">
        <f t="shared" si="1"/>
        <v>PLACED</v>
      </c>
    </row>
    <row r="110">
      <c r="A110" s="1">
        <v>1105.0</v>
      </c>
      <c r="B110" s="1" t="s">
        <v>143</v>
      </c>
      <c r="C110" s="1" t="s">
        <v>126</v>
      </c>
      <c r="D110" s="1">
        <v>8.2</v>
      </c>
      <c r="E110" s="1" t="s">
        <v>26</v>
      </c>
      <c r="F110" s="1" t="s">
        <v>27</v>
      </c>
      <c r="G110" s="1" t="s">
        <v>54</v>
      </c>
      <c r="H110" s="1">
        <v>8.6</v>
      </c>
      <c r="I110" s="2" t="str">
        <f t="shared" si="1"/>
        <v>PLACED</v>
      </c>
    </row>
    <row r="111">
      <c r="A111" s="1">
        <v>1090.0</v>
      </c>
      <c r="B111" s="1" t="s">
        <v>144</v>
      </c>
      <c r="C111" s="1" t="s">
        <v>126</v>
      </c>
      <c r="D111" s="1">
        <v>7.3</v>
      </c>
      <c r="E111" s="1" t="s">
        <v>52</v>
      </c>
      <c r="F111" s="1" t="s">
        <v>27</v>
      </c>
      <c r="G111" s="1" t="s">
        <v>37</v>
      </c>
      <c r="H111" s="1">
        <v>5.8</v>
      </c>
      <c r="I111" s="2" t="str">
        <f t="shared" si="1"/>
        <v>PLACED</v>
      </c>
    </row>
    <row r="112">
      <c r="A112" s="1">
        <v>1098.0</v>
      </c>
      <c r="B112" s="1" t="s">
        <v>145</v>
      </c>
      <c r="C112" s="1" t="s">
        <v>126</v>
      </c>
      <c r="D112" s="1">
        <v>7.4</v>
      </c>
      <c r="E112" s="1" t="s">
        <v>127</v>
      </c>
      <c r="F112" s="1" t="s">
        <v>27</v>
      </c>
      <c r="G112" s="1" t="s">
        <v>128</v>
      </c>
      <c r="H112" s="1">
        <v>8.4</v>
      </c>
      <c r="I112" s="2" t="str">
        <f t="shared" si="1"/>
        <v>PLACED</v>
      </c>
    </row>
    <row r="113">
      <c r="A113" s="1">
        <v>1044.0</v>
      </c>
      <c r="B113" s="1" t="s">
        <v>146</v>
      </c>
      <c r="C113" s="1" t="s">
        <v>126</v>
      </c>
      <c r="D113" s="1">
        <v>8.0</v>
      </c>
      <c r="E113" s="1" t="s">
        <v>52</v>
      </c>
      <c r="F113" s="1" t="s">
        <v>27</v>
      </c>
      <c r="G113" s="1" t="s">
        <v>128</v>
      </c>
      <c r="H113" s="1">
        <v>8.1</v>
      </c>
      <c r="I113" s="2" t="str">
        <f t="shared" si="1"/>
        <v>PLACED</v>
      </c>
    </row>
    <row r="114">
      <c r="A114" s="1">
        <v>1028.0</v>
      </c>
      <c r="B114" s="1" t="s">
        <v>147</v>
      </c>
      <c r="C114" s="1" t="s">
        <v>126</v>
      </c>
      <c r="D114" s="1">
        <v>8.7</v>
      </c>
      <c r="E114" s="1" t="s">
        <v>26</v>
      </c>
      <c r="F114" s="1" t="s">
        <v>27</v>
      </c>
      <c r="G114" s="1" t="s">
        <v>54</v>
      </c>
      <c r="H114" s="1">
        <v>8.9</v>
      </c>
      <c r="I114" s="2" t="str">
        <f t="shared" si="1"/>
        <v>PLACED</v>
      </c>
    </row>
    <row r="115">
      <c r="A115" s="1">
        <v>1067.0</v>
      </c>
      <c r="B115" s="1" t="s">
        <v>148</v>
      </c>
      <c r="C115" s="1" t="s">
        <v>126</v>
      </c>
      <c r="D115" s="1">
        <v>7.4</v>
      </c>
      <c r="E115" s="1" t="s">
        <v>52</v>
      </c>
      <c r="F115" s="1" t="s">
        <v>27</v>
      </c>
      <c r="G115" s="1" t="s">
        <v>28</v>
      </c>
      <c r="H115" s="1">
        <v>5.9</v>
      </c>
      <c r="I115" s="2" t="str">
        <f t="shared" si="1"/>
        <v>PLACED</v>
      </c>
    </row>
    <row r="116">
      <c r="A116" s="1">
        <v>1113.0</v>
      </c>
      <c r="B116" s="1" t="s">
        <v>149</v>
      </c>
      <c r="C116" s="1" t="s">
        <v>126</v>
      </c>
      <c r="D116" s="1">
        <v>8.7</v>
      </c>
      <c r="E116" s="1" t="s">
        <v>127</v>
      </c>
      <c r="F116" s="1" t="s">
        <v>27</v>
      </c>
      <c r="G116" s="1" t="s">
        <v>128</v>
      </c>
      <c r="H116" s="1">
        <v>9.1</v>
      </c>
      <c r="I116" s="2" t="str">
        <f t="shared" si="1"/>
        <v>PLACED</v>
      </c>
    </row>
    <row r="117">
      <c r="A117" s="1">
        <v>1052.0</v>
      </c>
      <c r="B117" s="1" t="s">
        <v>150</v>
      </c>
      <c r="C117" s="1" t="s">
        <v>126</v>
      </c>
      <c r="D117" s="1">
        <v>8.9</v>
      </c>
      <c r="E117" s="1" t="s">
        <v>127</v>
      </c>
      <c r="F117" s="1" t="s">
        <v>27</v>
      </c>
      <c r="G117" s="1" t="s">
        <v>83</v>
      </c>
      <c r="H117" s="1">
        <v>10.1</v>
      </c>
      <c r="I117" s="2" t="str">
        <f t="shared" si="1"/>
        <v>PLACED</v>
      </c>
    </row>
    <row r="118">
      <c r="A118" s="1">
        <v>1086.0</v>
      </c>
      <c r="B118" s="1" t="s">
        <v>151</v>
      </c>
      <c r="C118" s="1" t="s">
        <v>126</v>
      </c>
      <c r="D118" s="1">
        <v>7.6</v>
      </c>
      <c r="E118" s="1" t="s">
        <v>35</v>
      </c>
      <c r="F118" s="1" t="s">
        <v>27</v>
      </c>
      <c r="G118" s="1" t="s">
        <v>28</v>
      </c>
      <c r="H118" s="1">
        <v>6.1</v>
      </c>
      <c r="I118" s="2" t="str">
        <f t="shared" si="1"/>
        <v>PLACED</v>
      </c>
    </row>
    <row r="119">
      <c r="A119" s="1">
        <v>1101.0</v>
      </c>
      <c r="B119" s="1" t="s">
        <v>152</v>
      </c>
      <c r="C119" s="1" t="s">
        <v>126</v>
      </c>
      <c r="D119" s="1">
        <v>8.5</v>
      </c>
      <c r="E119" s="1" t="s">
        <v>52</v>
      </c>
      <c r="F119" s="1" t="s">
        <v>27</v>
      </c>
      <c r="G119" s="1" t="s">
        <v>61</v>
      </c>
      <c r="H119" s="1">
        <v>7.4</v>
      </c>
      <c r="I119" s="2" t="str">
        <f t="shared" si="1"/>
        <v>PLACED</v>
      </c>
    </row>
    <row r="120">
      <c r="A120" s="1">
        <v>1005.0</v>
      </c>
      <c r="B120" s="1" t="s">
        <v>153</v>
      </c>
      <c r="C120" s="1" t="s">
        <v>154</v>
      </c>
      <c r="D120" s="1">
        <v>7.2</v>
      </c>
      <c r="E120" s="1" t="s">
        <v>114</v>
      </c>
      <c r="F120" s="1" t="s">
        <v>12</v>
      </c>
      <c r="G120" s="1" t="s">
        <v>13</v>
      </c>
      <c r="H120" s="1">
        <v>0.0</v>
      </c>
      <c r="I120" s="2" t="str">
        <f t="shared" si="1"/>
        <v>NOT_PLACED</v>
      </c>
    </row>
    <row r="121">
      <c r="A121" s="1">
        <v>1025.0</v>
      </c>
      <c r="B121" s="1" t="s">
        <v>155</v>
      </c>
      <c r="C121" s="1" t="s">
        <v>154</v>
      </c>
      <c r="D121" s="1">
        <v>7.0</v>
      </c>
      <c r="E121" s="1" t="s">
        <v>11</v>
      </c>
      <c r="F121" s="1" t="s">
        <v>12</v>
      </c>
      <c r="G121" s="1" t="s">
        <v>13</v>
      </c>
      <c r="H121" s="1">
        <v>0.0</v>
      </c>
      <c r="I121" s="2" t="str">
        <f t="shared" si="1"/>
        <v>NOT_PLACED</v>
      </c>
    </row>
    <row r="122">
      <c r="A122" s="1"/>
      <c r="D122" s="2">
        <f>COUNTIF(D2:D121,"&gt;=7.5")</f>
        <v>81</v>
      </c>
      <c r="F122" s="2">
        <f>COUNTIF(F2:F121,"Yes")</f>
        <v>85</v>
      </c>
      <c r="H122" s="2">
        <f>AVERAGE(H2:H121)</f>
        <v>8.704166667</v>
      </c>
    </row>
  </sheetData>
  <autoFilter ref="$A$1:$I$122"/>
  <conditionalFormatting sqref="D2:D121">
    <cfRule type="cellIs" dxfId="0" priority="1" operator="greaterThanOrEqual">
      <formula>8</formula>
    </cfRule>
  </conditionalFormatting>
  <conditionalFormatting sqref="I2:I121">
    <cfRule type="containsText" dxfId="1" priority="2" operator="containsText" text="NOT_PLACED">
      <formula>NOT(ISERROR(SEARCH(("NOT_PLACED"),(I2))))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0"/>
    <col customWidth="1" min="2" max="2" width="18.63"/>
    <col customWidth="1" min="4" max="4" width="0.38"/>
    <col customWidth="1" min="6" max="6" width="21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162</v>
      </c>
      <c r="O1" s="6"/>
      <c r="P1" s="6"/>
    </row>
    <row r="2">
      <c r="O2" s="6"/>
      <c r="P2" s="6"/>
    </row>
    <row r="4">
      <c r="A4" s="7" t="s">
        <v>163</v>
      </c>
      <c r="B4" s="8"/>
      <c r="D4" s="7" t="s">
        <v>164</v>
      </c>
      <c r="E4" s="8"/>
      <c r="G4" s="7" t="s">
        <v>165</v>
      </c>
      <c r="H4" s="8"/>
      <c r="J4" s="7" t="s">
        <v>166</v>
      </c>
      <c r="K4" s="8"/>
      <c r="M4" s="7" t="s">
        <v>167</v>
      </c>
      <c r="N4" s="8"/>
    </row>
    <row r="5">
      <c r="A5" s="9">
        <f>COUNTA(aw_data!A2:A121)</f>
        <v>120</v>
      </c>
      <c r="B5" s="10"/>
      <c r="D5" s="11">
        <f>COUNTIF(aw_data!I2:I121,"Placed")/COUNTA(aw_data!A2:A121)</f>
        <v>0.75</v>
      </c>
      <c r="E5" s="10"/>
      <c r="G5" s="12">
        <f>AVERAGE(aw_data!H2:H121)</f>
        <v>8.704166667</v>
      </c>
      <c r="H5" s="10"/>
      <c r="J5" s="13">
        <f>MAX(aw_data!H2:H121)</f>
        <v>31</v>
      </c>
      <c r="K5" s="10"/>
      <c r="M5" s="13">
        <f>COUNTIF(aw_data!I2:I121,"NOT_PLACED")</f>
        <v>30</v>
      </c>
      <c r="N5" s="10"/>
    </row>
    <row r="6">
      <c r="A6" s="14"/>
      <c r="B6" s="14"/>
    </row>
  </sheetData>
  <mergeCells count="11">
    <mergeCell ref="G4:H4"/>
    <mergeCell ref="G5:H5"/>
    <mergeCell ref="M4:N4"/>
    <mergeCell ref="M5:N5"/>
    <mergeCell ref="A1:N2"/>
    <mergeCell ref="A4:B4"/>
    <mergeCell ref="A5:B5"/>
    <mergeCell ref="D4:E4"/>
    <mergeCell ref="J4:K4"/>
    <mergeCell ref="D5:E5"/>
    <mergeCell ref="J5:K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</row>
    <row r="2">
      <c r="A2" s="18">
        <v>1005.0</v>
      </c>
      <c r="B2" s="19" t="s">
        <v>153</v>
      </c>
      <c r="C2" s="19" t="s">
        <v>154</v>
      </c>
      <c r="D2" s="19">
        <v>7.2</v>
      </c>
      <c r="E2" s="19" t="s">
        <v>114</v>
      </c>
      <c r="F2" s="19" t="s">
        <v>12</v>
      </c>
      <c r="G2" s="19" t="s">
        <v>13</v>
      </c>
      <c r="H2" s="19">
        <v>0.0</v>
      </c>
      <c r="I2" s="20" t="s">
        <v>160</v>
      </c>
    </row>
    <row r="3">
      <c r="A3" s="18">
        <v>1025.0</v>
      </c>
      <c r="B3" s="19" t="s">
        <v>155</v>
      </c>
      <c r="C3" s="19" t="s">
        <v>154</v>
      </c>
      <c r="D3" s="19">
        <v>7.0</v>
      </c>
      <c r="E3" s="19" t="s">
        <v>11</v>
      </c>
      <c r="F3" s="19" t="s">
        <v>12</v>
      </c>
      <c r="G3" s="19" t="s">
        <v>13</v>
      </c>
      <c r="H3" s="19">
        <v>0.0</v>
      </c>
      <c r="I3" s="20" t="s">
        <v>160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</row>
    <row r="2">
      <c r="A2" s="18">
        <v>1001.0</v>
      </c>
      <c r="B2" s="19" t="s">
        <v>24</v>
      </c>
      <c r="C2" s="19" t="s">
        <v>25</v>
      </c>
      <c r="D2" s="19">
        <v>8.7</v>
      </c>
      <c r="E2" s="19" t="s">
        <v>26</v>
      </c>
      <c r="F2" s="19" t="s">
        <v>27</v>
      </c>
      <c r="G2" s="19" t="s">
        <v>28</v>
      </c>
      <c r="H2" s="19">
        <v>7.2</v>
      </c>
      <c r="I2" s="20" t="s">
        <v>161</v>
      </c>
    </row>
    <row r="3">
      <c r="A3" s="18">
        <v>1048.0</v>
      </c>
      <c r="B3" s="19" t="s">
        <v>29</v>
      </c>
      <c r="C3" s="19" t="s">
        <v>25</v>
      </c>
      <c r="D3" s="19">
        <v>8.6</v>
      </c>
      <c r="E3" s="19" t="s">
        <v>30</v>
      </c>
      <c r="F3" s="19" t="s">
        <v>27</v>
      </c>
      <c r="G3" s="19" t="s">
        <v>31</v>
      </c>
      <c r="H3" s="19">
        <v>21.0</v>
      </c>
      <c r="I3" s="20" t="s">
        <v>161</v>
      </c>
    </row>
    <row r="4">
      <c r="A4" s="18">
        <v>1085.0</v>
      </c>
      <c r="B4" s="19" t="s">
        <v>32</v>
      </c>
      <c r="C4" s="19" t="s">
        <v>25</v>
      </c>
      <c r="D4" s="19">
        <v>9.3</v>
      </c>
      <c r="E4" s="19" t="s">
        <v>26</v>
      </c>
      <c r="F4" s="19" t="s">
        <v>27</v>
      </c>
      <c r="G4" s="19" t="s">
        <v>33</v>
      </c>
      <c r="H4" s="19">
        <v>27.0</v>
      </c>
      <c r="I4" s="20" t="s">
        <v>161</v>
      </c>
    </row>
    <row r="5">
      <c r="A5" s="18">
        <v>1106.0</v>
      </c>
      <c r="B5" s="19" t="s">
        <v>34</v>
      </c>
      <c r="C5" s="19" t="s">
        <v>25</v>
      </c>
      <c r="D5" s="19">
        <v>7.9</v>
      </c>
      <c r="E5" s="19" t="s">
        <v>35</v>
      </c>
      <c r="F5" s="19" t="s">
        <v>27</v>
      </c>
      <c r="G5" s="19" t="s">
        <v>28</v>
      </c>
      <c r="H5" s="19">
        <v>6.0</v>
      </c>
      <c r="I5" s="20" t="s">
        <v>161</v>
      </c>
    </row>
    <row r="6">
      <c r="A6" s="18">
        <v>1100.0</v>
      </c>
      <c r="B6" s="19" t="s">
        <v>36</v>
      </c>
      <c r="C6" s="19" t="s">
        <v>25</v>
      </c>
      <c r="D6" s="19">
        <v>7.7</v>
      </c>
      <c r="E6" s="19" t="s">
        <v>26</v>
      </c>
      <c r="F6" s="19" t="s">
        <v>27</v>
      </c>
      <c r="G6" s="19" t="s">
        <v>37</v>
      </c>
      <c r="H6" s="19">
        <v>6.2</v>
      </c>
      <c r="I6" s="20" t="s">
        <v>161</v>
      </c>
    </row>
    <row r="7">
      <c r="A7" s="18">
        <v>1097.0</v>
      </c>
      <c r="B7" s="19" t="s">
        <v>38</v>
      </c>
      <c r="C7" s="19" t="s">
        <v>25</v>
      </c>
      <c r="D7" s="19">
        <v>8.8</v>
      </c>
      <c r="E7" s="19" t="s">
        <v>30</v>
      </c>
      <c r="F7" s="19" t="s">
        <v>27</v>
      </c>
      <c r="G7" s="19" t="s">
        <v>33</v>
      </c>
      <c r="H7" s="19">
        <v>25.0</v>
      </c>
      <c r="I7" s="20" t="s">
        <v>161</v>
      </c>
    </row>
    <row r="8">
      <c r="A8" s="18">
        <v>1004.0</v>
      </c>
      <c r="B8" s="19" t="s">
        <v>39</v>
      </c>
      <c r="C8" s="19" t="s">
        <v>25</v>
      </c>
      <c r="D8" s="19">
        <v>9.1</v>
      </c>
      <c r="E8" s="19" t="s">
        <v>26</v>
      </c>
      <c r="F8" s="19" t="s">
        <v>27</v>
      </c>
      <c r="G8" s="19" t="s">
        <v>33</v>
      </c>
      <c r="H8" s="19">
        <v>24.0</v>
      </c>
      <c r="I8" s="20" t="s">
        <v>161</v>
      </c>
    </row>
    <row r="9">
      <c r="A9" s="18">
        <v>1115.0</v>
      </c>
      <c r="B9" s="19" t="s">
        <v>40</v>
      </c>
      <c r="C9" s="19" t="s">
        <v>25</v>
      </c>
      <c r="D9" s="19">
        <v>9.2</v>
      </c>
      <c r="E9" s="19" t="s">
        <v>30</v>
      </c>
      <c r="F9" s="19" t="s">
        <v>27</v>
      </c>
      <c r="G9" s="19" t="s">
        <v>31</v>
      </c>
      <c r="H9" s="19">
        <v>24.0</v>
      </c>
      <c r="I9" s="20" t="s">
        <v>161</v>
      </c>
    </row>
    <row r="10">
      <c r="A10" s="18">
        <v>1011.0</v>
      </c>
      <c r="B10" s="19" t="s">
        <v>41</v>
      </c>
      <c r="C10" s="19" t="s">
        <v>25</v>
      </c>
      <c r="D10" s="19">
        <v>7.8</v>
      </c>
      <c r="E10" s="19" t="s">
        <v>35</v>
      </c>
      <c r="F10" s="19" t="s">
        <v>27</v>
      </c>
      <c r="G10" s="19" t="s">
        <v>37</v>
      </c>
      <c r="H10" s="19">
        <v>6.2</v>
      </c>
      <c r="I10" s="20" t="s">
        <v>161</v>
      </c>
    </row>
    <row r="11">
      <c r="A11" s="18">
        <v>1070.0</v>
      </c>
      <c r="B11" s="19" t="s">
        <v>42</v>
      </c>
      <c r="C11" s="19" t="s">
        <v>25</v>
      </c>
      <c r="D11" s="19">
        <v>8.8</v>
      </c>
      <c r="E11" s="19" t="s">
        <v>26</v>
      </c>
      <c r="F11" s="19" t="s">
        <v>27</v>
      </c>
      <c r="G11" s="19" t="s">
        <v>33</v>
      </c>
      <c r="H11" s="19">
        <v>22.0</v>
      </c>
      <c r="I11" s="20" t="s">
        <v>161</v>
      </c>
    </row>
    <row r="12">
      <c r="A12" s="18">
        <v>1033.0</v>
      </c>
      <c r="B12" s="19" t="s">
        <v>43</v>
      </c>
      <c r="C12" s="19" t="s">
        <v>25</v>
      </c>
      <c r="D12" s="19">
        <v>7.9</v>
      </c>
      <c r="E12" s="19" t="s">
        <v>26</v>
      </c>
      <c r="F12" s="19" t="s">
        <v>27</v>
      </c>
      <c r="G12" s="19" t="s">
        <v>44</v>
      </c>
      <c r="H12" s="19">
        <v>5.7</v>
      </c>
      <c r="I12" s="20" t="s">
        <v>161</v>
      </c>
    </row>
    <row r="13">
      <c r="A13" s="18">
        <v>1076.0</v>
      </c>
      <c r="B13" s="19" t="s">
        <v>45</v>
      </c>
      <c r="C13" s="19" t="s">
        <v>25</v>
      </c>
      <c r="D13" s="19">
        <v>9.2</v>
      </c>
      <c r="E13" s="19" t="s">
        <v>30</v>
      </c>
      <c r="F13" s="19" t="s">
        <v>27</v>
      </c>
      <c r="G13" s="19" t="s">
        <v>46</v>
      </c>
      <c r="H13" s="19">
        <v>31.0</v>
      </c>
      <c r="I13" s="20" t="s">
        <v>161</v>
      </c>
    </row>
    <row r="14">
      <c r="A14" s="18">
        <v>1042.0</v>
      </c>
      <c r="B14" s="19" t="s">
        <v>47</v>
      </c>
      <c r="C14" s="19" t="s">
        <v>25</v>
      </c>
      <c r="D14" s="19">
        <v>9.2</v>
      </c>
      <c r="E14" s="19" t="s">
        <v>26</v>
      </c>
      <c r="F14" s="19" t="s">
        <v>27</v>
      </c>
      <c r="G14" s="19" t="s">
        <v>46</v>
      </c>
      <c r="H14" s="19">
        <v>27.0</v>
      </c>
      <c r="I14" s="20" t="s">
        <v>161</v>
      </c>
    </row>
    <row r="15">
      <c r="A15" s="18">
        <v>1089.0</v>
      </c>
      <c r="B15" s="19" t="s">
        <v>48</v>
      </c>
      <c r="C15" s="19" t="s">
        <v>25</v>
      </c>
      <c r="D15" s="19">
        <v>8.7</v>
      </c>
      <c r="E15" s="19" t="s">
        <v>30</v>
      </c>
      <c r="F15" s="19" t="s">
        <v>27</v>
      </c>
      <c r="G15" s="19" t="s">
        <v>46</v>
      </c>
      <c r="H15" s="19">
        <v>28.0</v>
      </c>
      <c r="I15" s="20" t="s">
        <v>161</v>
      </c>
    </row>
    <row r="16">
      <c r="A16" s="18">
        <v>1109.0</v>
      </c>
      <c r="B16" s="19" t="s">
        <v>49</v>
      </c>
      <c r="C16" s="19" t="s">
        <v>25</v>
      </c>
      <c r="D16" s="19">
        <v>8.9</v>
      </c>
      <c r="E16" s="19" t="s">
        <v>30</v>
      </c>
      <c r="F16" s="19" t="s">
        <v>27</v>
      </c>
      <c r="G16" s="19" t="s">
        <v>33</v>
      </c>
      <c r="H16" s="19">
        <v>26.0</v>
      </c>
      <c r="I16" s="20" t="s">
        <v>161</v>
      </c>
    </row>
    <row r="17">
      <c r="A17" s="18">
        <v>1014.0</v>
      </c>
      <c r="B17" s="19" t="s">
        <v>50</v>
      </c>
      <c r="C17" s="19" t="s">
        <v>25</v>
      </c>
      <c r="D17" s="19">
        <v>9.3</v>
      </c>
      <c r="E17" s="19" t="s">
        <v>30</v>
      </c>
      <c r="F17" s="19" t="s">
        <v>27</v>
      </c>
      <c r="G17" s="19" t="s">
        <v>46</v>
      </c>
      <c r="H17" s="19">
        <v>28.0</v>
      </c>
      <c r="I17" s="20" t="s">
        <v>161</v>
      </c>
    </row>
    <row r="18">
      <c r="A18" s="18">
        <v>1073.0</v>
      </c>
      <c r="B18" s="19" t="s">
        <v>51</v>
      </c>
      <c r="C18" s="19" t="s">
        <v>25</v>
      </c>
      <c r="D18" s="19">
        <v>7.7</v>
      </c>
      <c r="E18" s="19" t="s">
        <v>52</v>
      </c>
      <c r="F18" s="19" t="s">
        <v>27</v>
      </c>
      <c r="G18" s="19" t="s">
        <v>44</v>
      </c>
      <c r="H18" s="19">
        <v>5.5</v>
      </c>
      <c r="I18" s="20" t="s">
        <v>161</v>
      </c>
    </row>
    <row r="19">
      <c r="A19" s="18">
        <v>1008.0</v>
      </c>
      <c r="B19" s="19" t="s">
        <v>53</v>
      </c>
      <c r="C19" s="19" t="s">
        <v>25</v>
      </c>
      <c r="D19" s="19">
        <v>8.5</v>
      </c>
      <c r="E19" s="19" t="s">
        <v>52</v>
      </c>
      <c r="F19" s="19" t="s">
        <v>27</v>
      </c>
      <c r="G19" s="19" t="s">
        <v>54</v>
      </c>
      <c r="H19" s="19">
        <v>8.2</v>
      </c>
      <c r="I19" s="20" t="s">
        <v>161</v>
      </c>
    </row>
    <row r="20">
      <c r="A20" s="18">
        <v>1054.0</v>
      </c>
      <c r="B20" s="19" t="s">
        <v>55</v>
      </c>
      <c r="C20" s="19" t="s">
        <v>25</v>
      </c>
      <c r="D20" s="19">
        <v>9.1</v>
      </c>
      <c r="E20" s="19" t="s">
        <v>30</v>
      </c>
      <c r="F20" s="19" t="s">
        <v>27</v>
      </c>
      <c r="G20" s="19" t="s">
        <v>33</v>
      </c>
      <c r="H20" s="19">
        <v>26.0</v>
      </c>
      <c r="I20" s="20" t="s">
        <v>161</v>
      </c>
    </row>
    <row r="21">
      <c r="A21" s="18">
        <v>1045.0</v>
      </c>
      <c r="B21" s="19" t="s">
        <v>56</v>
      </c>
      <c r="C21" s="19" t="s">
        <v>25</v>
      </c>
      <c r="D21" s="19">
        <v>7.8</v>
      </c>
      <c r="E21" s="19" t="s">
        <v>35</v>
      </c>
      <c r="F21" s="19" t="s">
        <v>27</v>
      </c>
      <c r="G21" s="19" t="s">
        <v>37</v>
      </c>
      <c r="H21" s="19">
        <v>6.0</v>
      </c>
      <c r="I21" s="20" t="s">
        <v>161</v>
      </c>
    </row>
    <row r="22">
      <c r="A22" s="18">
        <v>1066.0</v>
      </c>
      <c r="B22" s="19" t="s">
        <v>57</v>
      </c>
      <c r="C22" s="19" t="s">
        <v>25</v>
      </c>
      <c r="D22" s="19">
        <v>9.0</v>
      </c>
      <c r="E22" s="19" t="s">
        <v>30</v>
      </c>
      <c r="F22" s="19" t="s">
        <v>27</v>
      </c>
      <c r="G22" s="19" t="s">
        <v>31</v>
      </c>
      <c r="H22" s="19">
        <v>24.0</v>
      </c>
      <c r="I22" s="20" t="s">
        <v>161</v>
      </c>
    </row>
    <row r="23">
      <c r="A23" s="18">
        <v>1030.0</v>
      </c>
      <c r="B23" s="19" t="s">
        <v>58</v>
      </c>
      <c r="C23" s="19" t="s">
        <v>25</v>
      </c>
      <c r="D23" s="19">
        <v>9.4</v>
      </c>
      <c r="E23" s="19" t="s">
        <v>30</v>
      </c>
      <c r="F23" s="19" t="s">
        <v>27</v>
      </c>
      <c r="G23" s="19" t="s">
        <v>46</v>
      </c>
      <c r="H23" s="19">
        <v>30.0</v>
      </c>
      <c r="I23" s="20" t="s">
        <v>161</v>
      </c>
    </row>
    <row r="24">
      <c r="A24" s="18">
        <v>1082.0</v>
      </c>
      <c r="B24" s="19" t="s">
        <v>59</v>
      </c>
      <c r="C24" s="19" t="s">
        <v>25</v>
      </c>
      <c r="D24" s="19">
        <v>7.8</v>
      </c>
      <c r="E24" s="19" t="s">
        <v>52</v>
      </c>
      <c r="F24" s="19" t="s">
        <v>27</v>
      </c>
      <c r="G24" s="19" t="s">
        <v>44</v>
      </c>
      <c r="H24" s="19">
        <v>5.7</v>
      </c>
      <c r="I24" s="20" t="s">
        <v>161</v>
      </c>
    </row>
    <row r="25">
      <c r="A25" s="18">
        <v>1057.0</v>
      </c>
      <c r="B25" s="19" t="s">
        <v>60</v>
      </c>
      <c r="C25" s="19" t="s">
        <v>25</v>
      </c>
      <c r="D25" s="19">
        <v>7.6</v>
      </c>
      <c r="E25" s="19" t="s">
        <v>52</v>
      </c>
      <c r="F25" s="19" t="s">
        <v>27</v>
      </c>
      <c r="G25" s="19" t="s">
        <v>61</v>
      </c>
      <c r="H25" s="19">
        <v>6.2</v>
      </c>
      <c r="I25" s="20" t="s">
        <v>161</v>
      </c>
    </row>
    <row r="26">
      <c r="A26" s="18">
        <v>1063.0</v>
      </c>
      <c r="B26" s="19" t="s">
        <v>62</v>
      </c>
      <c r="C26" s="19" t="s">
        <v>25</v>
      </c>
      <c r="D26" s="19">
        <v>7.9</v>
      </c>
      <c r="E26" s="19" t="s">
        <v>35</v>
      </c>
      <c r="F26" s="19" t="s">
        <v>27</v>
      </c>
      <c r="G26" s="19" t="s">
        <v>37</v>
      </c>
      <c r="H26" s="19">
        <v>6.3</v>
      </c>
      <c r="I26" s="20" t="s">
        <v>161</v>
      </c>
    </row>
    <row r="27">
      <c r="A27" s="18">
        <v>1039.0</v>
      </c>
      <c r="B27" s="19" t="s">
        <v>63</v>
      </c>
      <c r="C27" s="19" t="s">
        <v>25</v>
      </c>
      <c r="D27" s="19">
        <v>7.3</v>
      </c>
      <c r="E27" s="19" t="s">
        <v>26</v>
      </c>
      <c r="F27" s="19" t="s">
        <v>12</v>
      </c>
      <c r="G27" s="19" t="s">
        <v>28</v>
      </c>
      <c r="H27" s="19">
        <v>4.1</v>
      </c>
      <c r="I27" s="20" t="s">
        <v>161</v>
      </c>
    </row>
    <row r="28">
      <c r="A28" s="18">
        <v>1018.0</v>
      </c>
      <c r="B28" s="19" t="s">
        <v>64</v>
      </c>
      <c r="C28" s="19" t="s">
        <v>25</v>
      </c>
      <c r="D28" s="19">
        <v>8.8</v>
      </c>
      <c r="E28" s="19" t="s">
        <v>65</v>
      </c>
      <c r="F28" s="19" t="s">
        <v>27</v>
      </c>
      <c r="G28" s="19" t="s">
        <v>31</v>
      </c>
      <c r="H28" s="19">
        <v>22.0</v>
      </c>
      <c r="I28" s="20" t="s">
        <v>161</v>
      </c>
    </row>
    <row r="29">
      <c r="A29" s="18">
        <v>1021.0</v>
      </c>
      <c r="B29" s="19" t="s">
        <v>66</v>
      </c>
      <c r="C29" s="19" t="s">
        <v>25</v>
      </c>
      <c r="D29" s="19">
        <v>8.2</v>
      </c>
      <c r="E29" s="19" t="s">
        <v>52</v>
      </c>
      <c r="F29" s="19" t="s">
        <v>27</v>
      </c>
      <c r="G29" s="19" t="s">
        <v>28</v>
      </c>
      <c r="H29" s="19">
        <v>6.7</v>
      </c>
      <c r="I29" s="20" t="s">
        <v>161</v>
      </c>
    </row>
    <row r="30">
      <c r="A30" s="18">
        <v>1060.0</v>
      </c>
      <c r="B30" s="19" t="s">
        <v>67</v>
      </c>
      <c r="C30" s="19" t="s">
        <v>25</v>
      </c>
      <c r="D30" s="19">
        <v>8.7</v>
      </c>
      <c r="E30" s="19" t="s">
        <v>30</v>
      </c>
      <c r="F30" s="19" t="s">
        <v>27</v>
      </c>
      <c r="G30" s="19" t="s">
        <v>46</v>
      </c>
      <c r="H30" s="19">
        <v>29.0</v>
      </c>
      <c r="I30" s="20" t="s">
        <v>161</v>
      </c>
    </row>
    <row r="31">
      <c r="A31" s="18">
        <v>1051.0</v>
      </c>
      <c r="B31" s="19" t="s">
        <v>68</v>
      </c>
      <c r="C31" s="19" t="s">
        <v>25</v>
      </c>
      <c r="D31" s="19">
        <v>7.2</v>
      </c>
      <c r="E31" s="19" t="s">
        <v>52</v>
      </c>
      <c r="F31" s="19" t="s">
        <v>12</v>
      </c>
      <c r="G31" s="19" t="s">
        <v>13</v>
      </c>
      <c r="H31" s="19">
        <v>0.0</v>
      </c>
      <c r="I31" s="20" t="s">
        <v>160</v>
      </c>
    </row>
    <row r="32">
      <c r="A32" s="18">
        <v>1036.0</v>
      </c>
      <c r="B32" s="19" t="s">
        <v>69</v>
      </c>
      <c r="C32" s="19" t="s">
        <v>25</v>
      </c>
      <c r="D32" s="19">
        <v>8.9</v>
      </c>
      <c r="E32" s="19" t="s">
        <v>52</v>
      </c>
      <c r="F32" s="19" t="s">
        <v>27</v>
      </c>
      <c r="G32" s="19" t="s">
        <v>31</v>
      </c>
      <c r="H32" s="19">
        <v>20.0</v>
      </c>
      <c r="I32" s="20" t="s">
        <v>161</v>
      </c>
    </row>
    <row r="33">
      <c r="A33" s="18">
        <v>1024.0</v>
      </c>
      <c r="B33" s="19" t="s">
        <v>70</v>
      </c>
      <c r="C33" s="19" t="s">
        <v>25</v>
      </c>
      <c r="D33" s="19">
        <v>9.0</v>
      </c>
      <c r="E33" s="19" t="s">
        <v>30</v>
      </c>
      <c r="F33" s="19" t="s">
        <v>27</v>
      </c>
      <c r="G33" s="19" t="s">
        <v>33</v>
      </c>
      <c r="H33" s="19">
        <v>25.0</v>
      </c>
      <c r="I33" s="20" t="s">
        <v>161</v>
      </c>
    </row>
    <row r="34">
      <c r="A34" s="18">
        <v>1118.0</v>
      </c>
      <c r="B34" s="19" t="s">
        <v>71</v>
      </c>
      <c r="C34" s="19" t="s">
        <v>25</v>
      </c>
      <c r="D34" s="19">
        <v>7.8</v>
      </c>
      <c r="E34" s="19" t="s">
        <v>52</v>
      </c>
      <c r="F34" s="19" t="s">
        <v>27</v>
      </c>
      <c r="G34" s="19" t="s">
        <v>28</v>
      </c>
      <c r="H34" s="19">
        <v>6.3</v>
      </c>
      <c r="I34" s="20" t="s">
        <v>161</v>
      </c>
    </row>
    <row r="35">
      <c r="A35" s="18">
        <v>1093.0</v>
      </c>
      <c r="B35" s="19" t="s">
        <v>72</v>
      </c>
      <c r="C35" s="19" t="s">
        <v>25</v>
      </c>
      <c r="D35" s="19">
        <v>9.1</v>
      </c>
      <c r="E35" s="19" t="s">
        <v>26</v>
      </c>
      <c r="F35" s="19" t="s">
        <v>27</v>
      </c>
      <c r="G35" s="19" t="s">
        <v>31</v>
      </c>
      <c r="H35" s="19">
        <v>24.0</v>
      </c>
      <c r="I35" s="20" t="s">
        <v>161</v>
      </c>
    </row>
    <row r="36">
      <c r="A36" s="18">
        <v>1027.0</v>
      </c>
      <c r="B36" s="19" t="s">
        <v>73</v>
      </c>
      <c r="C36" s="19" t="s">
        <v>25</v>
      </c>
      <c r="D36" s="19">
        <v>7.5</v>
      </c>
      <c r="E36" s="19" t="s">
        <v>35</v>
      </c>
      <c r="F36" s="19" t="s">
        <v>27</v>
      </c>
      <c r="G36" s="19" t="s">
        <v>61</v>
      </c>
      <c r="H36" s="19">
        <v>6.1</v>
      </c>
      <c r="I36" s="20" t="s">
        <v>161</v>
      </c>
    </row>
    <row r="37">
      <c r="A37" s="18">
        <v>1103.0</v>
      </c>
      <c r="B37" s="19" t="s">
        <v>74</v>
      </c>
      <c r="C37" s="19" t="s">
        <v>25</v>
      </c>
      <c r="D37" s="19">
        <v>9.0</v>
      </c>
      <c r="E37" s="19" t="s">
        <v>30</v>
      </c>
      <c r="F37" s="19" t="s">
        <v>27</v>
      </c>
      <c r="G37" s="19" t="s">
        <v>46</v>
      </c>
      <c r="H37" s="19">
        <v>30.0</v>
      </c>
      <c r="I37" s="20" t="s">
        <v>161</v>
      </c>
    </row>
    <row r="38">
      <c r="A38" s="18">
        <v>1112.0</v>
      </c>
      <c r="B38" s="19" t="s">
        <v>75</v>
      </c>
      <c r="C38" s="19" t="s">
        <v>25</v>
      </c>
      <c r="D38" s="19">
        <v>7.6</v>
      </c>
      <c r="E38" s="19" t="s">
        <v>26</v>
      </c>
      <c r="F38" s="19" t="s">
        <v>27</v>
      </c>
      <c r="G38" s="19" t="s">
        <v>44</v>
      </c>
      <c r="H38" s="19">
        <v>5.6</v>
      </c>
      <c r="I38" s="20" t="s">
        <v>161</v>
      </c>
    </row>
    <row r="39">
      <c r="A39" s="18">
        <v>1080.0</v>
      </c>
      <c r="B39" s="19" t="s">
        <v>76</v>
      </c>
      <c r="C39" s="19" t="s">
        <v>25</v>
      </c>
      <c r="D39" s="19">
        <v>8.9</v>
      </c>
      <c r="E39" s="19" t="s">
        <v>30</v>
      </c>
      <c r="F39" s="19" t="s">
        <v>27</v>
      </c>
      <c r="G39" s="19" t="s">
        <v>31</v>
      </c>
      <c r="H39" s="19">
        <v>23.0</v>
      </c>
      <c r="I39" s="20" t="s">
        <v>161</v>
      </c>
    </row>
    <row r="40">
      <c r="A40" s="21"/>
      <c r="B40" s="21"/>
      <c r="C40" s="21"/>
      <c r="D40" s="21"/>
      <c r="E40" s="21"/>
      <c r="F40" s="21"/>
      <c r="G40" s="21"/>
      <c r="H40" s="21">
        <f>AVERAGE(H2:H39)</f>
        <v>16.68421053</v>
      </c>
      <c r="I40" s="21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</row>
    <row r="2">
      <c r="A2" s="18">
        <v>1012.0</v>
      </c>
      <c r="B2" s="19" t="s">
        <v>77</v>
      </c>
      <c r="C2" s="19" t="s">
        <v>78</v>
      </c>
      <c r="D2" s="19">
        <v>8.3</v>
      </c>
      <c r="E2" s="19" t="s">
        <v>79</v>
      </c>
      <c r="F2" s="19" t="s">
        <v>27</v>
      </c>
      <c r="G2" s="19" t="s">
        <v>61</v>
      </c>
      <c r="H2" s="19">
        <v>7.0</v>
      </c>
      <c r="I2" s="20" t="s">
        <v>161</v>
      </c>
    </row>
    <row r="3">
      <c r="A3" s="18">
        <v>1111.0</v>
      </c>
      <c r="B3" s="19" t="s">
        <v>80</v>
      </c>
      <c r="C3" s="19" t="s">
        <v>78</v>
      </c>
      <c r="D3" s="19">
        <v>8.1</v>
      </c>
      <c r="E3" s="19" t="s">
        <v>79</v>
      </c>
      <c r="F3" s="19" t="s">
        <v>27</v>
      </c>
      <c r="G3" s="19" t="s">
        <v>61</v>
      </c>
      <c r="H3" s="19">
        <v>7.2</v>
      </c>
      <c r="I3" s="20" t="s">
        <v>161</v>
      </c>
    </row>
    <row r="4">
      <c r="A4" s="18">
        <v>1041.0</v>
      </c>
      <c r="B4" s="19" t="s">
        <v>81</v>
      </c>
      <c r="C4" s="19" t="s">
        <v>78</v>
      </c>
      <c r="D4" s="19">
        <v>7.0</v>
      </c>
      <c r="E4" s="19" t="s">
        <v>79</v>
      </c>
      <c r="F4" s="19" t="s">
        <v>12</v>
      </c>
      <c r="G4" s="19" t="s">
        <v>13</v>
      </c>
      <c r="H4" s="19">
        <v>0.0</v>
      </c>
      <c r="I4" s="20" t="s">
        <v>160</v>
      </c>
    </row>
    <row r="5">
      <c r="A5" s="18">
        <v>1074.0</v>
      </c>
      <c r="B5" s="19" t="s">
        <v>82</v>
      </c>
      <c r="C5" s="19" t="s">
        <v>78</v>
      </c>
      <c r="D5" s="19">
        <v>8.3</v>
      </c>
      <c r="E5" s="19" t="s">
        <v>65</v>
      </c>
      <c r="F5" s="19" t="s">
        <v>27</v>
      </c>
      <c r="G5" s="19" t="s">
        <v>83</v>
      </c>
      <c r="H5" s="19">
        <v>9.6</v>
      </c>
      <c r="I5" s="20" t="s">
        <v>161</v>
      </c>
    </row>
    <row r="6">
      <c r="A6" s="18">
        <v>1068.0</v>
      </c>
      <c r="B6" s="19" t="s">
        <v>84</v>
      </c>
      <c r="C6" s="19" t="s">
        <v>78</v>
      </c>
      <c r="D6" s="19">
        <v>8.1</v>
      </c>
      <c r="E6" s="19" t="s">
        <v>79</v>
      </c>
      <c r="F6" s="19" t="s">
        <v>27</v>
      </c>
      <c r="G6" s="19" t="s">
        <v>61</v>
      </c>
      <c r="H6" s="19">
        <v>7.1</v>
      </c>
      <c r="I6" s="20" t="s">
        <v>161</v>
      </c>
    </row>
    <row r="7">
      <c r="A7" s="18">
        <v>1016.0</v>
      </c>
      <c r="B7" s="19" t="s">
        <v>85</v>
      </c>
      <c r="C7" s="19" t="s">
        <v>78</v>
      </c>
      <c r="D7" s="19">
        <v>8.1</v>
      </c>
      <c r="E7" s="19" t="s">
        <v>26</v>
      </c>
      <c r="F7" s="19" t="s">
        <v>27</v>
      </c>
      <c r="G7" s="19" t="s">
        <v>86</v>
      </c>
      <c r="H7" s="19">
        <v>6.4</v>
      </c>
      <c r="I7" s="20" t="s">
        <v>161</v>
      </c>
    </row>
    <row r="8">
      <c r="A8" s="18">
        <v>1038.0</v>
      </c>
      <c r="B8" s="19" t="s">
        <v>40</v>
      </c>
      <c r="C8" s="19" t="s">
        <v>78</v>
      </c>
      <c r="D8" s="19">
        <v>8.2</v>
      </c>
      <c r="E8" s="19" t="s">
        <v>65</v>
      </c>
      <c r="F8" s="19" t="s">
        <v>27</v>
      </c>
      <c r="G8" s="19" t="s">
        <v>83</v>
      </c>
      <c r="H8" s="19">
        <v>9.1</v>
      </c>
      <c r="I8" s="20" t="s">
        <v>161</v>
      </c>
    </row>
    <row r="9">
      <c r="A9" s="18">
        <v>1053.0</v>
      </c>
      <c r="B9" s="19" t="s">
        <v>87</v>
      </c>
      <c r="C9" s="19" t="s">
        <v>78</v>
      </c>
      <c r="D9" s="19">
        <v>7.5</v>
      </c>
      <c r="E9" s="19" t="s">
        <v>35</v>
      </c>
      <c r="F9" s="19" t="s">
        <v>27</v>
      </c>
      <c r="G9" s="19" t="s">
        <v>37</v>
      </c>
      <c r="H9" s="19">
        <v>5.8</v>
      </c>
      <c r="I9" s="20" t="s">
        <v>161</v>
      </c>
    </row>
    <row r="10">
      <c r="A10" s="18">
        <v>1029.0</v>
      </c>
      <c r="B10" s="19" t="s">
        <v>88</v>
      </c>
      <c r="C10" s="19" t="s">
        <v>78</v>
      </c>
      <c r="D10" s="19">
        <v>7.2</v>
      </c>
      <c r="E10" s="19" t="s">
        <v>52</v>
      </c>
      <c r="F10" s="19" t="s">
        <v>12</v>
      </c>
      <c r="G10" s="19" t="s">
        <v>28</v>
      </c>
      <c r="H10" s="19">
        <v>4.3</v>
      </c>
      <c r="I10" s="20" t="s">
        <v>161</v>
      </c>
    </row>
    <row r="11">
      <c r="A11" s="18">
        <v>1002.0</v>
      </c>
      <c r="B11" s="19" t="s">
        <v>89</v>
      </c>
      <c r="C11" s="19" t="s">
        <v>78</v>
      </c>
      <c r="D11" s="19">
        <v>7.9</v>
      </c>
      <c r="E11" s="19" t="s">
        <v>52</v>
      </c>
      <c r="F11" s="19" t="s">
        <v>27</v>
      </c>
      <c r="G11" s="19" t="s">
        <v>37</v>
      </c>
      <c r="H11" s="19">
        <v>5.5</v>
      </c>
      <c r="I11" s="20" t="s">
        <v>161</v>
      </c>
    </row>
    <row r="12">
      <c r="A12" s="18">
        <v>1083.0</v>
      </c>
      <c r="B12" s="19" t="s">
        <v>90</v>
      </c>
      <c r="C12" s="19" t="s">
        <v>78</v>
      </c>
      <c r="D12" s="19">
        <v>8.0</v>
      </c>
      <c r="E12" s="19" t="s">
        <v>65</v>
      </c>
      <c r="F12" s="19" t="s">
        <v>27</v>
      </c>
      <c r="G12" s="19" t="s">
        <v>83</v>
      </c>
      <c r="H12" s="19">
        <v>9.2</v>
      </c>
      <c r="I12" s="20" t="s">
        <v>161</v>
      </c>
    </row>
    <row r="13">
      <c r="A13" s="18">
        <v>1022.0</v>
      </c>
      <c r="B13" s="19" t="s">
        <v>91</v>
      </c>
      <c r="C13" s="19" t="s">
        <v>78</v>
      </c>
      <c r="D13" s="19">
        <v>7.7</v>
      </c>
      <c r="E13" s="19" t="s">
        <v>79</v>
      </c>
      <c r="F13" s="19" t="s">
        <v>27</v>
      </c>
      <c r="G13" s="19" t="s">
        <v>37</v>
      </c>
      <c r="H13" s="19">
        <v>5.9</v>
      </c>
      <c r="I13" s="20" t="s">
        <v>161</v>
      </c>
    </row>
    <row r="14">
      <c r="A14" s="18">
        <v>1119.0</v>
      </c>
      <c r="B14" s="19" t="s">
        <v>92</v>
      </c>
      <c r="C14" s="19" t="s">
        <v>78</v>
      </c>
      <c r="D14" s="19">
        <v>8.5</v>
      </c>
      <c r="E14" s="19" t="s">
        <v>65</v>
      </c>
      <c r="F14" s="19" t="s">
        <v>27</v>
      </c>
      <c r="G14" s="19" t="s">
        <v>83</v>
      </c>
      <c r="H14" s="19">
        <v>9.5</v>
      </c>
      <c r="I14" s="20" t="s">
        <v>161</v>
      </c>
    </row>
    <row r="15">
      <c r="A15" s="18">
        <v>1034.0</v>
      </c>
      <c r="B15" s="19" t="s">
        <v>93</v>
      </c>
      <c r="C15" s="19" t="s">
        <v>78</v>
      </c>
      <c r="D15" s="19">
        <v>8.5</v>
      </c>
      <c r="E15" s="19" t="s">
        <v>79</v>
      </c>
      <c r="F15" s="19" t="s">
        <v>27</v>
      </c>
      <c r="G15" s="19" t="s">
        <v>37</v>
      </c>
      <c r="H15" s="19">
        <v>6.6</v>
      </c>
      <c r="I15" s="20" t="s">
        <v>161</v>
      </c>
    </row>
    <row r="16">
      <c r="A16" s="18">
        <v>1061.0</v>
      </c>
      <c r="B16" s="19" t="s">
        <v>94</v>
      </c>
      <c r="C16" s="19" t="s">
        <v>78</v>
      </c>
      <c r="D16" s="19">
        <v>7.3</v>
      </c>
      <c r="E16" s="19" t="s">
        <v>79</v>
      </c>
      <c r="F16" s="19" t="s">
        <v>12</v>
      </c>
      <c r="G16" s="19" t="s">
        <v>44</v>
      </c>
      <c r="H16" s="19">
        <v>4.7</v>
      </c>
      <c r="I16" s="20" t="s">
        <v>161</v>
      </c>
    </row>
    <row r="17">
      <c r="A17" s="18">
        <v>1009.0</v>
      </c>
      <c r="B17" s="19" t="s">
        <v>95</v>
      </c>
      <c r="C17" s="19" t="s">
        <v>78</v>
      </c>
      <c r="D17" s="19">
        <v>7.1</v>
      </c>
      <c r="E17" s="19" t="s">
        <v>26</v>
      </c>
      <c r="F17" s="19" t="s">
        <v>12</v>
      </c>
      <c r="G17" s="19" t="s">
        <v>28</v>
      </c>
      <c r="H17" s="19">
        <v>4.5</v>
      </c>
      <c r="I17" s="20" t="s">
        <v>161</v>
      </c>
    </row>
    <row r="18">
      <c r="A18" s="18">
        <v>1064.0</v>
      </c>
      <c r="B18" s="19" t="s">
        <v>96</v>
      </c>
      <c r="C18" s="19" t="s">
        <v>78</v>
      </c>
      <c r="D18" s="19">
        <v>8.2</v>
      </c>
      <c r="E18" s="19" t="s">
        <v>65</v>
      </c>
      <c r="F18" s="19" t="s">
        <v>27</v>
      </c>
      <c r="G18" s="19" t="s">
        <v>83</v>
      </c>
      <c r="H18" s="19">
        <v>9.4</v>
      </c>
      <c r="I18" s="20" t="s">
        <v>161</v>
      </c>
    </row>
    <row r="19">
      <c r="A19" s="18">
        <v>1087.0</v>
      </c>
      <c r="B19" s="19" t="s">
        <v>97</v>
      </c>
      <c r="C19" s="19" t="s">
        <v>78</v>
      </c>
      <c r="D19" s="19">
        <v>8.2</v>
      </c>
      <c r="E19" s="19" t="s">
        <v>79</v>
      </c>
      <c r="F19" s="19" t="s">
        <v>27</v>
      </c>
      <c r="G19" s="19" t="s">
        <v>61</v>
      </c>
      <c r="H19" s="19">
        <v>7.0</v>
      </c>
      <c r="I19" s="20" t="s">
        <v>161</v>
      </c>
    </row>
    <row r="20">
      <c r="A20" s="18">
        <v>1078.0</v>
      </c>
      <c r="B20" s="19" t="s">
        <v>98</v>
      </c>
      <c r="C20" s="19" t="s">
        <v>78</v>
      </c>
      <c r="D20" s="19">
        <v>8.4</v>
      </c>
      <c r="E20" s="19" t="s">
        <v>79</v>
      </c>
      <c r="F20" s="19" t="s">
        <v>27</v>
      </c>
      <c r="G20" s="19" t="s">
        <v>28</v>
      </c>
      <c r="H20" s="19">
        <v>6.9</v>
      </c>
      <c r="I20" s="20" t="s">
        <v>161</v>
      </c>
    </row>
    <row r="21">
      <c r="A21" s="18">
        <v>1026.0</v>
      </c>
      <c r="B21" s="19" t="s">
        <v>99</v>
      </c>
      <c r="C21" s="19" t="s">
        <v>78</v>
      </c>
      <c r="D21" s="19">
        <v>8.4</v>
      </c>
      <c r="E21" s="19" t="s">
        <v>65</v>
      </c>
      <c r="F21" s="19" t="s">
        <v>27</v>
      </c>
      <c r="G21" s="19" t="s">
        <v>83</v>
      </c>
      <c r="H21" s="19">
        <v>9.8</v>
      </c>
      <c r="I21" s="20" t="s">
        <v>161</v>
      </c>
    </row>
    <row r="22">
      <c r="A22" s="18">
        <v>1046.0</v>
      </c>
      <c r="B22" s="19" t="s">
        <v>100</v>
      </c>
      <c r="C22" s="19" t="s">
        <v>78</v>
      </c>
      <c r="D22" s="19">
        <v>8.3</v>
      </c>
      <c r="E22" s="19" t="s">
        <v>65</v>
      </c>
      <c r="F22" s="19" t="s">
        <v>27</v>
      </c>
      <c r="G22" s="19" t="s">
        <v>61</v>
      </c>
      <c r="H22" s="19">
        <v>7.2</v>
      </c>
      <c r="I22" s="20" t="s">
        <v>161</v>
      </c>
    </row>
    <row r="23">
      <c r="A23" s="18">
        <v>1114.0</v>
      </c>
      <c r="B23" s="19" t="s">
        <v>101</v>
      </c>
      <c r="C23" s="19" t="s">
        <v>78</v>
      </c>
      <c r="D23" s="19">
        <v>7.2</v>
      </c>
      <c r="E23" s="19" t="s">
        <v>35</v>
      </c>
      <c r="F23" s="19" t="s">
        <v>12</v>
      </c>
      <c r="G23" s="19" t="s">
        <v>13</v>
      </c>
      <c r="H23" s="19">
        <v>0.0</v>
      </c>
      <c r="I23" s="20" t="s">
        <v>160</v>
      </c>
    </row>
    <row r="24">
      <c r="A24" s="18">
        <v>1102.0</v>
      </c>
      <c r="B24" s="19" t="s">
        <v>102</v>
      </c>
      <c r="C24" s="19" t="s">
        <v>78</v>
      </c>
      <c r="D24" s="19">
        <v>7.1</v>
      </c>
      <c r="E24" s="19" t="s">
        <v>79</v>
      </c>
      <c r="F24" s="19" t="s">
        <v>12</v>
      </c>
      <c r="G24" s="19" t="s">
        <v>13</v>
      </c>
      <c r="H24" s="19">
        <v>0.0</v>
      </c>
      <c r="I24" s="20" t="s">
        <v>160</v>
      </c>
    </row>
    <row r="25">
      <c r="A25" s="18">
        <v>1050.0</v>
      </c>
      <c r="B25" s="19" t="s">
        <v>103</v>
      </c>
      <c r="C25" s="19" t="s">
        <v>78</v>
      </c>
      <c r="D25" s="19">
        <v>8.1</v>
      </c>
      <c r="E25" s="19" t="s">
        <v>79</v>
      </c>
      <c r="F25" s="19" t="s">
        <v>27</v>
      </c>
      <c r="G25" s="19" t="s">
        <v>44</v>
      </c>
      <c r="H25" s="19">
        <v>5.9</v>
      </c>
      <c r="I25" s="20" t="s">
        <v>161</v>
      </c>
    </row>
    <row r="26">
      <c r="A26" s="18">
        <v>1091.0</v>
      </c>
      <c r="B26" s="19" t="s">
        <v>104</v>
      </c>
      <c r="C26" s="19" t="s">
        <v>78</v>
      </c>
      <c r="D26" s="19">
        <v>8.5</v>
      </c>
      <c r="E26" s="19" t="s">
        <v>65</v>
      </c>
      <c r="F26" s="19" t="s">
        <v>27</v>
      </c>
      <c r="G26" s="19" t="s">
        <v>83</v>
      </c>
      <c r="H26" s="19">
        <v>9.7</v>
      </c>
      <c r="I26" s="20" t="s">
        <v>161</v>
      </c>
    </row>
    <row r="27">
      <c r="A27" s="18">
        <v>1006.0</v>
      </c>
      <c r="B27" s="19" t="s">
        <v>105</v>
      </c>
      <c r="C27" s="19" t="s">
        <v>78</v>
      </c>
      <c r="D27" s="19">
        <v>8.0</v>
      </c>
      <c r="E27" s="19" t="s">
        <v>65</v>
      </c>
      <c r="F27" s="19" t="s">
        <v>27</v>
      </c>
      <c r="G27" s="19" t="s">
        <v>44</v>
      </c>
      <c r="H27" s="19">
        <v>6.1</v>
      </c>
      <c r="I27" s="20" t="s">
        <v>161</v>
      </c>
    </row>
    <row r="28">
      <c r="A28" s="18">
        <v>1099.0</v>
      </c>
      <c r="B28" s="19" t="s">
        <v>106</v>
      </c>
      <c r="C28" s="19" t="s">
        <v>78</v>
      </c>
      <c r="D28" s="19">
        <v>8.3</v>
      </c>
      <c r="E28" s="19" t="s">
        <v>65</v>
      </c>
      <c r="F28" s="19" t="s">
        <v>27</v>
      </c>
      <c r="G28" s="19" t="s">
        <v>83</v>
      </c>
      <c r="H28" s="19">
        <v>9.3</v>
      </c>
      <c r="I28" s="20" t="s">
        <v>161</v>
      </c>
    </row>
    <row r="29">
      <c r="A29" s="18">
        <v>1058.0</v>
      </c>
      <c r="B29" s="19" t="s">
        <v>107</v>
      </c>
      <c r="C29" s="19" t="s">
        <v>78</v>
      </c>
      <c r="D29" s="19">
        <v>8.0</v>
      </c>
      <c r="E29" s="19" t="s">
        <v>65</v>
      </c>
      <c r="F29" s="19" t="s">
        <v>27</v>
      </c>
      <c r="G29" s="19" t="s">
        <v>28</v>
      </c>
      <c r="H29" s="19">
        <v>6.8</v>
      </c>
      <c r="I29" s="20" t="s">
        <v>161</v>
      </c>
    </row>
    <row r="30">
      <c r="A30" s="18">
        <v>1071.0</v>
      </c>
      <c r="B30" s="19" t="s">
        <v>108</v>
      </c>
      <c r="C30" s="19" t="s">
        <v>78</v>
      </c>
      <c r="D30" s="19">
        <v>7.2</v>
      </c>
      <c r="E30" s="19" t="s">
        <v>35</v>
      </c>
      <c r="F30" s="19" t="s">
        <v>12</v>
      </c>
      <c r="G30" s="19" t="s">
        <v>13</v>
      </c>
      <c r="H30" s="19">
        <v>0.0</v>
      </c>
      <c r="I30" s="20" t="s">
        <v>160</v>
      </c>
    </row>
    <row r="31">
      <c r="A31" s="18">
        <v>1107.0</v>
      </c>
      <c r="B31" s="19" t="s">
        <v>109</v>
      </c>
      <c r="C31" s="19" t="s">
        <v>78</v>
      </c>
      <c r="D31" s="19">
        <v>8.4</v>
      </c>
      <c r="E31" s="19" t="s">
        <v>65</v>
      </c>
      <c r="F31" s="19" t="s">
        <v>27</v>
      </c>
      <c r="G31" s="19" t="s">
        <v>83</v>
      </c>
      <c r="H31" s="19">
        <v>9.8</v>
      </c>
      <c r="I31" s="20" t="s">
        <v>161</v>
      </c>
    </row>
    <row r="32">
      <c r="A32" s="18">
        <v>1095.0</v>
      </c>
      <c r="B32" s="19" t="s">
        <v>110</v>
      </c>
      <c r="C32" s="19" t="s">
        <v>78</v>
      </c>
      <c r="D32" s="19">
        <v>8.1</v>
      </c>
      <c r="E32" s="19" t="s">
        <v>79</v>
      </c>
      <c r="F32" s="19" t="s">
        <v>27</v>
      </c>
      <c r="G32" s="19" t="s">
        <v>28</v>
      </c>
      <c r="H32" s="19">
        <v>6.6</v>
      </c>
      <c r="I32" s="20" t="s">
        <v>161</v>
      </c>
    </row>
    <row r="33">
      <c r="A33" s="18">
        <v>1019.0</v>
      </c>
      <c r="B33" s="19" t="s">
        <v>111</v>
      </c>
      <c r="C33" s="19" t="s">
        <v>78</v>
      </c>
      <c r="D33" s="19">
        <v>7.4</v>
      </c>
      <c r="E33" s="19" t="s">
        <v>35</v>
      </c>
      <c r="F33" s="19" t="s">
        <v>12</v>
      </c>
      <c r="G33" s="19" t="s">
        <v>44</v>
      </c>
      <c r="H33" s="19">
        <v>4.8</v>
      </c>
      <c r="I33" s="20" t="s">
        <v>161</v>
      </c>
    </row>
  </sheetData>
  <drawing r:id="rId1"/>
  <tableParts count="1">
    <tablePart r:id="rId3"/>
  </tableParts>
</worksheet>
</file>